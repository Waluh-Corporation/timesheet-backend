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95a7c9ab907eec/Absen/"/>
    </mc:Choice>
  </mc:AlternateContent>
  <xr:revisionPtr revIDLastSave="1" documentId="13_ncr:1_{25932165-3B5B-4535-A3F2-49DBD6713095}" xr6:coauthVersionLast="47" xr6:coauthVersionMax="47" xr10:uidLastSave="{66A19CAF-B7D8-4458-985D-A078591852E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Sheet1!$A$1:$R$47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22" i="1"/>
  <c r="H40" i="1"/>
  <c r="E40" i="1"/>
  <c r="D39" i="1"/>
  <c r="D37" i="1"/>
  <c r="D9" i="1" l="1"/>
  <c r="D33" i="1"/>
  <c r="D32" i="1"/>
  <c r="D26" i="1"/>
  <c r="D25" i="1"/>
  <c r="D19" i="1"/>
  <c r="D18" i="1"/>
  <c r="D30" i="1"/>
  <c r="D31" i="1"/>
  <c r="D34" i="1"/>
  <c r="D35" i="1"/>
  <c r="D36" i="1"/>
  <c r="D12" i="1"/>
  <c r="J40" i="1" l="1"/>
  <c r="I40" i="1"/>
  <c r="G40" i="1"/>
  <c r="F40" i="1"/>
  <c r="D24" i="1" l="1"/>
  <c r="D17" i="1"/>
  <c r="D14" i="1" l="1"/>
  <c r="D13" i="1"/>
  <c r="D21" i="1"/>
  <c r="D20" i="1"/>
  <c r="D28" i="1"/>
  <c r="D27" i="1"/>
  <c r="D29" i="1" l="1"/>
  <c r="D23" i="1"/>
  <c r="D16" i="1"/>
  <c r="D15" i="1"/>
  <c r="D11" i="1"/>
  <c r="D10" i="1"/>
</calcChain>
</file>

<file path=xl/sharedStrings.xml><?xml version="1.0" encoding="utf-8"?>
<sst xmlns="http://schemas.openxmlformats.org/spreadsheetml/2006/main" count="46" uniqueCount="44">
  <si>
    <t>NAME of PROJECT</t>
  </si>
  <si>
    <t>: BNI Direct</t>
  </si>
  <si>
    <t>UNIT/DIVISION</t>
  </si>
  <si>
    <t>: WDL</t>
  </si>
  <si>
    <t>NAME</t>
  </si>
  <si>
    <t>: FAISAL AL MUNAWAR FATHUR RAHMAN</t>
  </si>
  <si>
    <t>MII ID</t>
  </si>
  <si>
    <t xml:space="preserve">: </t>
  </si>
  <si>
    <t>SITE</t>
  </si>
  <si>
    <t>: BNI</t>
  </si>
  <si>
    <t xml:space="preserve"> : Holiday</t>
  </si>
  <si>
    <t>PERIODE</t>
  </si>
  <si>
    <t>P = Present; S = Sick;  V = Vacation; BT = Business Trip; PM = Permit; X = Not Working Anymore</t>
  </si>
  <si>
    <t>DATE</t>
  </si>
  <si>
    <t>WORKING HOUR</t>
  </si>
  <si>
    <t>TOTAL HOUR</t>
  </si>
  <si>
    <t xml:space="preserve">STATUS  ATTENDANCE </t>
  </si>
  <si>
    <t>ACTIVITY / REMARK</t>
  </si>
  <si>
    <t>Project Name</t>
  </si>
  <si>
    <t>Project ID</t>
  </si>
  <si>
    <t>Aplikasi Terdampak</t>
  </si>
  <si>
    <t>AIP Fitur</t>
  </si>
  <si>
    <t>Divisi</t>
  </si>
  <si>
    <t>Departement</t>
  </si>
  <si>
    <t>Sub Departement</t>
  </si>
  <si>
    <t>START</t>
  </si>
  <si>
    <t>END</t>
  </si>
  <si>
    <t>Present</t>
  </si>
  <si>
    <t xml:space="preserve">Sick </t>
  </si>
  <si>
    <t>Business Trip</t>
  </si>
  <si>
    <t>Permit</t>
  </si>
  <si>
    <t>Vacation</t>
  </si>
  <si>
    <t>Not Working</t>
  </si>
  <si>
    <t>BNI Direct Cash</t>
  </si>
  <si>
    <t>P24015</t>
  </si>
  <si>
    <t>Wholesale Digital Delivery</t>
  </si>
  <si>
    <t>TTD PEGAWAI,</t>
  </si>
  <si>
    <t>DIPERIKSA OLEH,</t>
  </si>
  <si>
    <t>DISETUJUI OLEH,</t>
  </si>
  <si>
    <t xml:space="preserve"> (                                                      )</t>
  </si>
  <si>
    <t>(                                                 )</t>
  </si>
  <si>
    <t>(                                                )</t>
  </si>
  <si>
    <t>DATE :</t>
  </si>
  <si>
    <t>Wholesale Channel and Service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</si>
</sst>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h:mm;@"/>
  </numFmts>
  <fonts count="19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charset val="1"/>
    </font>
    <font>
      <b/>
      <sz val="10"/>
      <name val="Calibri"/>
      <family val="2"/>
      <scheme val="minor"/>
    </font>
    <font>
      <b/>
      <sz val="9"/>
      <name val="Calibri"/>
      <family val="2"/>
      <charset val="1"/>
    </font>
    <font>
      <sz val="9"/>
      <color rgb="FF000000"/>
      <name val="Verdana"/>
      <family val="2"/>
    </font>
    <font>
      <sz val="10"/>
      <name val="Arial"/>
      <family val="2"/>
    </font>
    <font>
      <sz val="9"/>
      <color indexed="63"/>
      <name val="Verdana"/>
      <family val="2"/>
    </font>
    <font>
      <sz val="9"/>
      <name val="Verdana"/>
      <family val="2"/>
    </font>
    <font>
      <b/>
      <sz val="9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9"/>
      <color rgb="FF000000"/>
      <name val="Calibri Light"/>
      <family val="1"/>
      <scheme val="major"/>
    </font>
    <font>
      <b/>
      <sz val="9"/>
      <color rgb="FF000000"/>
      <name val="Calibri Light"/>
      <family val="1"/>
      <scheme val="major"/>
    </font>
    <font>
      <b/>
      <sz val="12"/>
      <color rgb="FF000000"/>
      <name val="Calibri"/>
      <family val="2"/>
      <charset val="1"/>
    </font>
    <font>
      <sz val="9"/>
      <color rgb="FF000000"/>
      <name val="Calibri"/>
      <family val="2"/>
    </font>
    <font>
      <b/>
      <sz val="9"/>
      <color rgb="FF000000"/>
      <name val="Calibri Light"/>
      <family val="2"/>
      <scheme val="maj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b/>
      <sz val="11"/>
      <color rgb="FF000000"/>
      <name val="Calibri Light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rgb="FF0066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17" fontId="3" fillId="0" borderId="0" xfId="0" applyNumberFormat="1" applyFont="1" applyAlignment="1">
      <alignment vertical="center" wrapText="1"/>
    </xf>
    <xf numFmtId="0" fontId="6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/>
    <xf numFmtId="49" fontId="11" fillId="0" borderId="6" xfId="0" applyNumberFormat="1" applyFont="1" applyBorder="1" applyAlignment="1">
      <alignment horizontal="center" vertical="center" wrapText="1"/>
    </xf>
    <xf numFmtId="49" fontId="0" fillId="0" borderId="6" xfId="0" applyNumberFormat="1" applyBorder="1"/>
    <xf numFmtId="0" fontId="14" fillId="0" borderId="4" xfId="0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164" fontId="17" fillId="6" borderId="6" xfId="0" applyNumberFormat="1" applyFont="1" applyFill="1" applyBorder="1" applyAlignment="1">
      <alignment horizontal="center" vertical="center" wrapText="1"/>
    </xf>
    <xf numFmtId="165" fontId="18" fillId="0" borderId="6" xfId="0" applyNumberFormat="1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 wrapText="1"/>
    </xf>
    <xf numFmtId="49" fontId="18" fillId="0" borderId="8" xfId="0" applyNumberFormat="1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0" fillId="0" borderId="6" xfId="0" applyBorder="1" applyAlignment="1">
      <alignment horizontal="left"/>
    </xf>
    <xf numFmtId="0" fontId="8" fillId="3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7" fontId="3" fillId="0" borderId="1" xfId="0" applyNumberFormat="1" applyFont="1" applyBorder="1" applyAlignment="1">
      <alignment horizontal="left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164" fontId="8" fillId="3" borderId="7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2638425</xdr:colOff>
      <xdr:row>0</xdr:row>
      <xdr:rowOff>1</xdr:rowOff>
    </xdr:from>
    <xdr:to>
      <xdr:col>10</xdr:col>
      <xdr:colOff>3905250</xdr:colOff>
      <xdr:row>4</xdr:row>
      <xdr:rowOff>23189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50" y="1"/>
          <a:ext cx="1266825" cy="918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6"/>
  <sheetViews>
    <sheetView showGridLines="0" tabSelected="1" view="pageBreakPreview" topLeftCell="A19" zoomScaleNormal="100" zoomScaleSheetLayoutView="100" workbookViewId="0">
      <selection activeCell="E9" sqref="E9"/>
    </sheetView>
  </sheetViews>
  <sheetFormatPr defaultRowHeight="14.4" x14ac:dyDescent="0.3"/>
  <cols>
    <col min="1" max="1" width="11" customWidth="1"/>
    <col min="2" max="2" width="9.44140625" bestFit="1" customWidth="1"/>
    <col min="3" max="3" width="11" bestFit="1" customWidth="1"/>
    <col min="4" max="4" width="10.44140625" bestFit="1" customWidth="1"/>
    <col min="5" max="5" width="7.44140625" customWidth="1"/>
    <col min="6" max="6" width="7.21875" customWidth="1"/>
    <col min="7" max="7" width="10.21875" customWidth="1"/>
    <col min="8" max="8" width="7.5546875" customWidth="1"/>
    <col min="9" max="9" width="8.6640625" customWidth="1"/>
    <col min="10" max="10" width="10.21875" customWidth="1"/>
    <col min="11" max="11" width="62.21875" style="12" customWidth="1"/>
    <col min="12" max="12" width="15" customWidth="1"/>
    <col min="13" max="13" width="9.5546875" customWidth="1"/>
    <col min="14" max="14" width="18.21875" customWidth="1"/>
    <col min="16" max="16" width="20.88671875" customWidth="1"/>
    <col min="17" max="17" width="12.77734375" bestFit="1" customWidth="1"/>
    <col min="18" max="18" width="12.77734375" customWidth="1"/>
  </cols>
  <sheetData>
    <row r="1" spans="1:23" ht="17.25" customHeight="1" x14ac:dyDescent="0.3">
      <c r="A1" s="51" t="s">
        <v>0</v>
      </c>
      <c r="B1" s="51"/>
      <c r="C1" s="63" t="s">
        <v>1</v>
      </c>
      <c r="D1" s="63"/>
      <c r="E1" s="63"/>
      <c r="F1" s="63"/>
      <c r="G1" s="63"/>
      <c r="H1" s="1"/>
      <c r="I1" s="1"/>
      <c r="J1" s="1"/>
      <c r="K1" s="13"/>
      <c r="L1" s="1"/>
    </row>
    <row r="2" spans="1:23" ht="18.75" customHeight="1" x14ac:dyDescent="0.3">
      <c r="A2" s="51" t="s">
        <v>2</v>
      </c>
      <c r="B2" s="51"/>
      <c r="C2" s="64" t="s">
        <v>3</v>
      </c>
      <c r="D2" s="64"/>
      <c r="E2" s="64"/>
      <c r="F2" s="1"/>
      <c r="G2" s="1"/>
      <c r="H2" s="1"/>
      <c r="I2" s="1"/>
      <c r="J2" s="1"/>
      <c r="K2" s="13"/>
      <c r="L2" s="1"/>
    </row>
    <row r="3" spans="1:23" ht="17.25" customHeight="1" x14ac:dyDescent="0.3">
      <c r="A3" s="51" t="s">
        <v>4</v>
      </c>
      <c r="B3" s="51"/>
      <c r="C3" s="64" t="s">
        <v>5</v>
      </c>
      <c r="D3" s="64"/>
      <c r="E3" s="64"/>
      <c r="F3" s="64"/>
      <c r="G3" s="1"/>
      <c r="H3" s="1"/>
      <c r="I3" s="1"/>
      <c r="J3" s="1"/>
      <c r="K3" s="13"/>
      <c r="L3" s="1"/>
    </row>
    <row r="4" spans="1:23" ht="17.25" customHeight="1" x14ac:dyDescent="0.3">
      <c r="A4" s="51" t="s">
        <v>6</v>
      </c>
      <c r="B4" s="51"/>
      <c r="C4" s="2" t="s">
        <v>7</v>
      </c>
      <c r="D4" s="21"/>
      <c r="E4" s="21"/>
      <c r="F4" s="21"/>
      <c r="G4" s="1"/>
      <c r="H4" s="1"/>
      <c r="I4" s="1"/>
      <c r="J4" s="1"/>
      <c r="K4" s="13"/>
      <c r="L4" s="1"/>
    </row>
    <row r="5" spans="1:23" ht="17.25" customHeight="1" x14ac:dyDescent="0.3">
      <c r="A5" s="51" t="s">
        <v>8</v>
      </c>
      <c r="B5" s="51"/>
      <c r="C5" s="2" t="s">
        <v>9</v>
      </c>
      <c r="D5" s="2"/>
      <c r="E5" s="2"/>
      <c r="F5" s="2"/>
      <c r="G5" s="3"/>
      <c r="H5" s="52" t="s">
        <v>10</v>
      </c>
      <c r="I5" s="52"/>
      <c r="L5" s="1"/>
    </row>
    <row r="6" spans="1:23" ht="17.25" customHeight="1" x14ac:dyDescent="0.3">
      <c r="A6" s="51" t="s">
        <v>11</v>
      </c>
      <c r="B6" s="51"/>
      <c r="C6" s="53">
        <v>46143</v>
      </c>
      <c r="D6" s="53"/>
      <c r="E6" s="4"/>
      <c r="F6" s="4"/>
      <c r="G6" s="5" t="s">
        <v>12</v>
      </c>
      <c r="H6" s="6"/>
      <c r="I6" s="6"/>
      <c r="J6" s="7"/>
      <c r="K6" s="14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7.25" customHeight="1" x14ac:dyDescent="0.3">
      <c r="A7" s="54" t="s">
        <v>13</v>
      </c>
      <c r="B7" s="56" t="s">
        <v>14</v>
      </c>
      <c r="C7" s="57"/>
      <c r="D7" s="58" t="s">
        <v>15</v>
      </c>
      <c r="E7" s="60" t="s">
        <v>16</v>
      </c>
      <c r="F7" s="61"/>
      <c r="G7" s="61"/>
      <c r="H7" s="61"/>
      <c r="I7" s="61"/>
      <c r="J7" s="62"/>
      <c r="K7" s="43" t="s">
        <v>17</v>
      </c>
      <c r="L7" s="29" t="s">
        <v>18</v>
      </c>
      <c r="M7" s="29" t="s">
        <v>19</v>
      </c>
      <c r="N7" s="31" t="s">
        <v>20</v>
      </c>
      <c r="O7" s="29" t="s">
        <v>21</v>
      </c>
      <c r="P7" s="29" t="s">
        <v>22</v>
      </c>
      <c r="Q7" s="29" t="s">
        <v>23</v>
      </c>
      <c r="R7" s="31" t="s">
        <v>24</v>
      </c>
    </row>
    <row r="8" spans="1:23" ht="23.25" customHeight="1" x14ac:dyDescent="0.3">
      <c r="A8" s="55"/>
      <c r="B8" s="22" t="s">
        <v>25</v>
      </c>
      <c r="C8" s="22" t="s">
        <v>26</v>
      </c>
      <c r="D8" s="59"/>
      <c r="E8" s="22" t="s">
        <v>27</v>
      </c>
      <c r="F8" s="22" t="s">
        <v>28</v>
      </c>
      <c r="G8" s="22" t="s">
        <v>29</v>
      </c>
      <c r="H8" s="22" t="s">
        <v>30</v>
      </c>
      <c r="I8" s="22" t="s">
        <v>31</v>
      </c>
      <c r="J8" s="22" t="s">
        <v>32</v>
      </c>
      <c r="K8" s="43"/>
      <c r="L8" s="30"/>
      <c r="M8" s="30"/>
      <c r="N8" s="32"/>
      <c r="O8" s="30"/>
      <c r="P8" s="30"/>
      <c r="Q8" s="30"/>
      <c r="R8" s="32"/>
    </row>
    <row r="9" spans="1:23" ht="15" customHeight="1" x14ac:dyDescent="0.3">
      <c r="A9" s="25">
        <v>46143</v>
      </c>
      <c r="B9" s="26">
        <v>0.33333333333333331</v>
      </c>
      <c r="C9" s="26">
        <v>0.70833333333333337</v>
      </c>
      <c r="D9" s="26">
        <f t="shared" ref="D9" si="0">C9-B9</f>
        <v>0.37500000000000006</v>
      </c>
      <c r="E9" s="27"/>
      <c r="F9" s="27"/>
      <c r="G9" s="27"/>
      <c r="H9" s="27"/>
      <c r="I9" s="27"/>
      <c r="J9" s="17"/>
      <c r="K9" s="18"/>
      <c r="L9" s="16" t="s">
        <v>33</v>
      </c>
      <c r="M9" s="16" t="s">
        <v>34</v>
      </c>
      <c r="N9" s="16"/>
      <c r="O9" s="16"/>
      <c r="P9" s="16" t="s">
        <v>35</v>
      </c>
      <c r="Q9" s="24" t="s">
        <v>43</v>
      </c>
      <c r="R9" s="18"/>
    </row>
    <row r="10" spans="1:23" ht="15" customHeight="1" x14ac:dyDescent="0.3">
      <c r="A10" s="25">
        <v>46144</v>
      </c>
      <c r="B10" s="26">
        <v>0.33333333333333331</v>
      </c>
      <c r="C10" s="26">
        <v>0.70833333333333337</v>
      </c>
      <c r="D10" s="26">
        <f t="shared" ref="D10:D16" si="1">C10-B10</f>
        <v>0.37500000000000006</v>
      </c>
      <c r="E10" s="27"/>
      <c r="F10" s="27"/>
      <c r="G10" s="27"/>
      <c r="H10" s="27"/>
      <c r="I10" s="27"/>
      <c r="J10" s="17"/>
      <c r="K10" s="18"/>
      <c r="L10" s="16"/>
      <c r="M10" s="16"/>
      <c r="N10" s="16"/>
      <c r="O10" s="16"/>
      <c r="P10" s="16"/>
      <c r="Q10" s="17"/>
      <c r="R10" s="18"/>
    </row>
    <row r="11" spans="1:23" s="15" customFormat="1" ht="15" customHeight="1" x14ac:dyDescent="0.3">
      <c r="A11" s="25">
        <v>46145</v>
      </c>
      <c r="B11" s="26">
        <v>0.33333333333333331</v>
      </c>
      <c r="C11" s="26">
        <v>0.70833333333333337</v>
      </c>
      <c r="D11" s="26">
        <f t="shared" si="1"/>
        <v>0.37500000000000006</v>
      </c>
      <c r="E11" s="27"/>
      <c r="F11" s="27"/>
      <c r="G11" s="27"/>
      <c r="H11" s="27"/>
      <c r="I11" s="27"/>
      <c r="J11" s="17"/>
      <c r="K11" s="18"/>
      <c r="L11" s="16"/>
      <c r="M11" s="16"/>
      <c r="N11" s="16"/>
      <c r="O11" s="16"/>
      <c r="P11" s="16"/>
      <c r="Q11" s="17"/>
      <c r="R11" s="18"/>
    </row>
    <row r="12" spans="1:23" ht="15" customHeight="1" x14ac:dyDescent="0.3">
      <c r="A12" s="25">
        <v>46146</v>
      </c>
      <c r="B12" s="26">
        <v>0.33333333333333331</v>
      </c>
      <c r="C12" s="26">
        <v>0.70833333333333337</v>
      </c>
      <c r="D12" s="26">
        <f t="shared" ref="D12" si="2">C12-B12</f>
        <v>0.37500000000000006</v>
      </c>
      <c r="E12" s="27"/>
      <c r="F12" s="27"/>
      <c r="G12" s="27"/>
      <c r="H12" s="27"/>
      <c r="I12" s="27"/>
      <c r="J12" s="17"/>
      <c r="K12" s="18"/>
      <c r="L12" s="16"/>
      <c r="M12" s="16"/>
      <c r="N12" s="16"/>
      <c r="O12" s="16"/>
      <c r="P12" s="16"/>
      <c r="Q12" s="24"/>
      <c r="R12" s="18"/>
    </row>
    <row r="13" spans="1:23" ht="15" customHeight="1" x14ac:dyDescent="0.3">
      <c r="A13" s="25">
        <v>46147</v>
      </c>
      <c r="B13" s="26">
        <v>0.33333333333333331</v>
      </c>
      <c r="C13" s="26">
        <v>0.70833333333333337</v>
      </c>
      <c r="D13" s="26">
        <f t="shared" si="1"/>
        <v>0.37500000000000006</v>
      </c>
      <c r="E13" s="27"/>
      <c r="F13" s="27"/>
      <c r="G13" s="27"/>
      <c r="H13" s="27"/>
      <c r="I13" s="27"/>
      <c r="J13" s="17"/>
      <c r="K13" s="18"/>
      <c r="L13" s="16"/>
      <c r="M13" s="16"/>
      <c r="N13" s="16"/>
      <c r="O13" s="16"/>
      <c r="P13" s="16"/>
      <c r="Q13" s="24"/>
      <c r="R13" s="18"/>
    </row>
    <row r="14" spans="1:23" ht="15" customHeight="1" x14ac:dyDescent="0.3">
      <c r="A14" s="25">
        <v>46148</v>
      </c>
      <c r="B14" s="26">
        <v>0.33333333333333331</v>
      </c>
      <c r="C14" s="26">
        <v>0.70833333333333337</v>
      </c>
      <c r="D14" s="26">
        <f t="shared" si="1"/>
        <v>0.37500000000000006</v>
      </c>
      <c r="E14" s="27"/>
      <c r="F14" s="27"/>
      <c r="G14" s="27"/>
      <c r="H14" s="27"/>
      <c r="I14" s="27"/>
      <c r="J14" s="17"/>
      <c r="K14" s="18"/>
      <c r="L14" s="16"/>
      <c r="M14" s="16"/>
      <c r="N14" s="16"/>
      <c r="O14" s="16"/>
      <c r="P14" s="16"/>
      <c r="Q14" s="17"/>
      <c r="R14" s="18"/>
    </row>
    <row r="15" spans="1:23" ht="15" customHeight="1" x14ac:dyDescent="0.3">
      <c r="A15" s="25">
        <v>46149</v>
      </c>
      <c r="B15" s="26">
        <v>0.33333333333333331</v>
      </c>
      <c r="C15" s="26">
        <v>0.70833333333333337</v>
      </c>
      <c r="D15" s="26">
        <f t="shared" si="1"/>
        <v>0.37500000000000006</v>
      </c>
      <c r="E15" s="27"/>
      <c r="F15" s="27"/>
      <c r="G15" s="28"/>
      <c r="H15" s="28"/>
      <c r="I15" s="28"/>
      <c r="J15" s="17"/>
      <c r="K15" s="18"/>
      <c r="L15" s="16"/>
      <c r="M15" s="16"/>
      <c r="N15" s="19"/>
      <c r="O15" s="19"/>
      <c r="P15" s="19"/>
      <c r="Q15" s="17"/>
      <c r="R15" s="18"/>
    </row>
    <row r="16" spans="1:23" ht="15" customHeight="1" x14ac:dyDescent="0.3">
      <c r="A16" s="25">
        <v>46150</v>
      </c>
      <c r="B16" s="26">
        <v>0.33333333333333331</v>
      </c>
      <c r="C16" s="26">
        <v>0.70833333333333337</v>
      </c>
      <c r="D16" s="26">
        <f t="shared" si="1"/>
        <v>0.37500000000000006</v>
      </c>
      <c r="E16" s="27"/>
      <c r="F16" s="27"/>
      <c r="G16" s="27"/>
      <c r="H16" s="27"/>
      <c r="I16" s="27"/>
      <c r="J16" s="17"/>
      <c r="K16" s="18"/>
      <c r="L16" s="16"/>
      <c r="M16" s="16"/>
      <c r="N16" s="16"/>
      <c r="O16" s="16"/>
      <c r="P16" s="16"/>
      <c r="Q16" s="17"/>
      <c r="R16" s="18"/>
    </row>
    <row r="17" spans="1:18" ht="15" customHeight="1" x14ac:dyDescent="0.3">
      <c r="A17" s="25">
        <v>46151</v>
      </c>
      <c r="B17" s="26">
        <v>0.33333333333333298</v>
      </c>
      <c r="C17" s="26">
        <v>0.70833333333333304</v>
      </c>
      <c r="D17" s="26">
        <f t="shared" ref="D17:D19" si="3">C17-B17</f>
        <v>0.37500000000000006</v>
      </c>
      <c r="E17" s="27"/>
      <c r="F17" s="27"/>
      <c r="G17" s="27"/>
      <c r="H17" s="27"/>
      <c r="I17" s="27"/>
      <c r="J17" s="17"/>
      <c r="K17" s="18"/>
      <c r="L17" s="16"/>
      <c r="M17" s="16"/>
      <c r="N17" s="16"/>
      <c r="O17" s="16"/>
      <c r="P17" s="16"/>
      <c r="Q17" s="17"/>
      <c r="R17" s="18"/>
    </row>
    <row r="18" spans="1:18" s="15" customFormat="1" ht="15" customHeight="1" x14ac:dyDescent="0.3">
      <c r="A18" s="25">
        <v>46152</v>
      </c>
      <c r="B18" s="26">
        <v>0.33333333333333331</v>
      </c>
      <c r="C18" s="26">
        <v>0.70833333333333337</v>
      </c>
      <c r="D18" s="26">
        <f t="shared" si="3"/>
        <v>0.37500000000000006</v>
      </c>
      <c r="E18" s="27"/>
      <c r="F18" s="27"/>
      <c r="G18" s="27"/>
      <c r="H18" s="27"/>
      <c r="I18" s="27"/>
      <c r="J18" s="17"/>
      <c r="K18" s="18"/>
      <c r="L18" s="16"/>
      <c r="M18" s="16"/>
      <c r="N18" s="16"/>
      <c r="O18" s="16"/>
      <c r="P18" s="16"/>
      <c r="Q18" s="17"/>
      <c r="R18" s="18"/>
    </row>
    <row r="19" spans="1:18" s="15" customFormat="1" ht="15" customHeight="1" x14ac:dyDescent="0.3">
      <c r="A19" s="25">
        <v>46153</v>
      </c>
      <c r="B19" s="26">
        <v>0.33333333333333331</v>
      </c>
      <c r="C19" s="26">
        <v>0.70833333333333337</v>
      </c>
      <c r="D19" s="26">
        <f t="shared" si="3"/>
        <v>0.37500000000000006</v>
      </c>
      <c r="E19" s="27"/>
      <c r="F19" s="27"/>
      <c r="G19" s="27"/>
      <c r="H19" s="27"/>
      <c r="I19" s="27"/>
      <c r="J19" s="17"/>
      <c r="K19" s="18"/>
      <c r="L19" s="16"/>
      <c r="M19" s="16"/>
      <c r="N19" s="16"/>
      <c r="O19" s="16"/>
      <c r="P19" s="16"/>
      <c r="Q19" s="17"/>
      <c r="R19" s="18"/>
    </row>
    <row r="20" spans="1:18" ht="15" customHeight="1" x14ac:dyDescent="0.3">
      <c r="A20" s="25">
        <v>46154</v>
      </c>
      <c r="B20" s="26">
        <v>0.33333333333333331</v>
      </c>
      <c r="C20" s="26">
        <v>0.70833333333333337</v>
      </c>
      <c r="D20" s="26">
        <f t="shared" ref="D20:D21" si="4">C20-B20</f>
        <v>0.37500000000000006</v>
      </c>
      <c r="E20" s="27"/>
      <c r="F20" s="27"/>
      <c r="G20" s="27"/>
      <c r="H20" s="27"/>
      <c r="I20" s="27"/>
      <c r="J20" s="17"/>
      <c r="K20" s="18"/>
      <c r="L20" s="16"/>
      <c r="M20" s="16"/>
      <c r="N20" s="16"/>
      <c r="O20" s="16"/>
      <c r="P20" s="16"/>
      <c r="Q20" s="17"/>
      <c r="R20" s="18"/>
    </row>
    <row r="21" spans="1:18" ht="15" customHeight="1" x14ac:dyDescent="0.3">
      <c r="A21" s="25">
        <v>46155</v>
      </c>
      <c r="B21" s="26">
        <v>0.33333333333333331</v>
      </c>
      <c r="C21" s="26">
        <v>0.70833333333333337</v>
      </c>
      <c r="D21" s="26">
        <f t="shared" si="4"/>
        <v>0.37500000000000006</v>
      </c>
      <c r="E21" s="27"/>
      <c r="F21" s="27"/>
      <c r="G21" s="27"/>
      <c r="H21" s="27"/>
      <c r="I21" s="27"/>
      <c r="J21" s="17"/>
      <c r="K21" s="23"/>
      <c r="L21" s="16"/>
      <c r="M21" s="16"/>
      <c r="N21" s="16"/>
      <c r="O21" s="16"/>
      <c r="P21" s="16"/>
      <c r="Q21" s="17"/>
      <c r="R21" s="23"/>
    </row>
    <row r="22" spans="1:18" ht="15" customHeight="1" x14ac:dyDescent="0.3">
      <c r="A22" s="25">
        <v>46156</v>
      </c>
      <c r="B22" s="26">
        <v>0.33333333333333331</v>
      </c>
      <c r="C22" s="26">
        <v>0.70833333333333337</v>
      </c>
      <c r="D22" s="26">
        <f>C22-B22</f>
        <v>0.37500000000000006</v>
      </c>
      <c r="E22" s="27"/>
      <c r="F22" s="27"/>
      <c r="G22" s="27"/>
      <c r="H22" s="27"/>
      <c r="I22" s="27"/>
      <c r="J22" s="17"/>
      <c r="K22" s="18"/>
      <c r="L22" s="16"/>
      <c r="M22" s="16"/>
      <c r="N22" s="16"/>
      <c r="O22" s="16"/>
      <c r="P22" s="16"/>
      <c r="Q22" s="17"/>
      <c r="R22" s="23"/>
    </row>
    <row r="23" spans="1:18" ht="17.55" customHeight="1" x14ac:dyDescent="0.3">
      <c r="A23" s="25">
        <v>46157</v>
      </c>
      <c r="B23" s="26">
        <v>0.33333333333333331</v>
      </c>
      <c r="C23" s="26">
        <v>0.70833333333333337</v>
      </c>
      <c r="D23" s="26">
        <f t="shared" ref="D23:D26" si="5">C23-B23</f>
        <v>0.37500000000000006</v>
      </c>
      <c r="E23" s="27"/>
      <c r="F23" s="27"/>
      <c r="G23" s="27"/>
      <c r="H23" s="27"/>
      <c r="I23" s="27"/>
      <c r="J23" s="17"/>
      <c r="K23" s="18"/>
      <c r="L23" s="16"/>
      <c r="M23" s="16"/>
      <c r="N23" s="16"/>
      <c r="O23" s="16"/>
      <c r="P23" s="20"/>
      <c r="Q23" s="17"/>
      <c r="R23" s="23"/>
    </row>
    <row r="24" spans="1:18" ht="15" customHeight="1" x14ac:dyDescent="0.3">
      <c r="A24" s="25">
        <v>46158</v>
      </c>
      <c r="B24" s="26">
        <v>0.33333333333333298</v>
      </c>
      <c r="C24" s="26">
        <v>0.70833333333333304</v>
      </c>
      <c r="D24" s="26">
        <f t="shared" si="5"/>
        <v>0.37500000000000006</v>
      </c>
      <c r="E24" s="27"/>
      <c r="F24" s="27"/>
      <c r="G24" s="27"/>
      <c r="H24" s="27"/>
      <c r="I24" s="27"/>
      <c r="J24" s="17"/>
      <c r="K24" s="18"/>
      <c r="L24" s="16"/>
      <c r="M24" s="16"/>
      <c r="N24" s="16"/>
      <c r="O24" s="16"/>
      <c r="P24" s="20"/>
      <c r="Q24" s="17"/>
      <c r="R24" s="18"/>
    </row>
    <row r="25" spans="1:18" s="15" customFormat="1" ht="15" customHeight="1" x14ac:dyDescent="0.3">
      <c r="A25" s="25">
        <v>46159</v>
      </c>
      <c r="B25" s="26">
        <v>0.33333333333333331</v>
      </c>
      <c r="C25" s="26">
        <v>0.70833333333333337</v>
      </c>
      <c r="D25" s="26">
        <f t="shared" si="5"/>
        <v>0.37500000000000006</v>
      </c>
      <c r="E25" s="27"/>
      <c r="F25" s="27"/>
      <c r="G25" s="27"/>
      <c r="H25" s="27"/>
      <c r="I25" s="27"/>
      <c r="J25" s="17"/>
      <c r="K25" s="18"/>
      <c r="L25" s="16"/>
      <c r="M25" s="16"/>
      <c r="N25" s="16"/>
      <c r="O25" s="16"/>
      <c r="P25" s="16"/>
      <c r="Q25" s="17"/>
      <c r="R25" s="18"/>
    </row>
    <row r="26" spans="1:18" ht="15" customHeight="1" x14ac:dyDescent="0.3">
      <c r="A26" s="25">
        <v>46160</v>
      </c>
      <c r="B26" s="26">
        <v>0.33333333333333331</v>
      </c>
      <c r="C26" s="26">
        <v>0.70833333333333337</v>
      </c>
      <c r="D26" s="26">
        <f t="shared" si="5"/>
        <v>0.37500000000000006</v>
      </c>
      <c r="E26" s="27"/>
      <c r="F26" s="27"/>
      <c r="G26" s="27"/>
      <c r="H26" s="27"/>
      <c r="I26" s="27"/>
      <c r="J26" s="17"/>
      <c r="K26" s="18"/>
      <c r="L26" s="16"/>
      <c r="M26" s="16"/>
      <c r="N26" s="16"/>
      <c r="O26" s="16"/>
      <c r="P26" s="16"/>
      <c r="Q26" s="17"/>
      <c r="R26" s="18"/>
    </row>
    <row r="27" spans="1:18" ht="15" customHeight="1" x14ac:dyDescent="0.3">
      <c r="A27" s="25">
        <v>46161</v>
      </c>
      <c r="B27" s="26">
        <v>0.33333333333333331</v>
      </c>
      <c r="C27" s="26">
        <v>0.70833333333333337</v>
      </c>
      <c r="D27" s="26">
        <f t="shared" ref="D27:D28" si="6">C27-B27</f>
        <v>0.37500000000000006</v>
      </c>
      <c r="E27" s="27"/>
      <c r="F27" s="27"/>
      <c r="G27" s="27"/>
      <c r="H27" s="27"/>
      <c r="I27" s="27"/>
      <c r="J27" s="17"/>
      <c r="K27" s="18"/>
      <c r="L27" s="18"/>
      <c r="M27" s="16"/>
      <c r="N27" s="16"/>
      <c r="O27" s="16"/>
      <c r="P27" s="16"/>
      <c r="Q27" s="17"/>
      <c r="R27" s="18"/>
    </row>
    <row r="28" spans="1:18" ht="15" customHeight="1" x14ac:dyDescent="0.3">
      <c r="A28" s="25">
        <v>46162</v>
      </c>
      <c r="B28" s="26">
        <v>0.33333333333333331</v>
      </c>
      <c r="C28" s="26">
        <v>0.70833333333333337</v>
      </c>
      <c r="D28" s="26">
        <f t="shared" si="6"/>
        <v>0.37500000000000006</v>
      </c>
      <c r="E28" s="27"/>
      <c r="F28" s="27"/>
      <c r="G28" s="27"/>
      <c r="H28" s="27"/>
      <c r="I28" s="27"/>
      <c r="J28" s="17"/>
      <c r="K28" s="18"/>
      <c r="L28" s="16"/>
      <c r="M28" s="16"/>
      <c r="N28" s="16"/>
      <c r="O28" s="16"/>
      <c r="P28" s="20"/>
      <c r="Q28" s="17"/>
      <c r="R28" s="18"/>
    </row>
    <row r="29" spans="1:18" ht="15" customHeight="1" x14ac:dyDescent="0.3">
      <c r="A29" s="25">
        <v>46163</v>
      </c>
      <c r="B29" s="26">
        <v>0.33333333333333331</v>
      </c>
      <c r="C29" s="26">
        <v>0.70833333333333337</v>
      </c>
      <c r="D29" s="26">
        <f t="shared" ref="D29:D30" si="7">C29-B29</f>
        <v>0.37500000000000006</v>
      </c>
      <c r="E29" s="27"/>
      <c r="F29" s="27"/>
      <c r="G29" s="27"/>
      <c r="H29" s="27"/>
      <c r="I29" s="27"/>
      <c r="J29" s="17"/>
      <c r="K29" s="18"/>
      <c r="L29" s="16"/>
      <c r="M29" s="16"/>
      <c r="N29" s="16"/>
      <c r="O29" s="16"/>
      <c r="P29" s="20"/>
      <c r="Q29" s="17"/>
      <c r="R29" s="18"/>
    </row>
    <row r="30" spans="1:18" ht="15" customHeight="1" x14ac:dyDescent="0.3">
      <c r="A30" s="25">
        <v>46164</v>
      </c>
      <c r="B30" s="26">
        <v>0.33333333333333298</v>
      </c>
      <c r="C30" s="26">
        <v>0.70833333333333304</v>
      </c>
      <c r="D30" s="26">
        <f t="shared" si="7"/>
        <v>0.37500000000000006</v>
      </c>
      <c r="E30" s="27"/>
      <c r="F30" s="27"/>
      <c r="G30" s="27"/>
      <c r="H30" s="27"/>
      <c r="I30" s="27"/>
      <c r="J30" s="17"/>
      <c r="K30" s="18"/>
      <c r="L30" s="16"/>
      <c r="M30" s="16"/>
      <c r="N30" s="16"/>
      <c r="O30" s="16"/>
      <c r="P30" s="20"/>
      <c r="Q30" s="17"/>
      <c r="R30" s="18"/>
    </row>
    <row r="31" spans="1:18" ht="15" customHeight="1" x14ac:dyDescent="0.3">
      <c r="A31" s="25">
        <v>46165</v>
      </c>
      <c r="B31" s="26">
        <v>0.33333333333333298</v>
      </c>
      <c r="C31" s="26">
        <v>0.70833333333333304</v>
      </c>
      <c r="D31" s="26">
        <f t="shared" ref="D31:D36" si="8">C31-B31</f>
        <v>0.37500000000000006</v>
      </c>
      <c r="E31" s="27"/>
      <c r="F31" s="27"/>
      <c r="G31" s="27"/>
      <c r="H31" s="27"/>
      <c r="I31" s="27"/>
      <c r="J31" s="17"/>
      <c r="K31" s="18"/>
      <c r="L31" s="16"/>
      <c r="M31" s="16"/>
      <c r="N31" s="16"/>
      <c r="O31" s="16"/>
      <c r="P31" s="20"/>
      <c r="Q31" s="17"/>
      <c r="R31" s="18"/>
    </row>
    <row r="32" spans="1:18" s="15" customFormat="1" ht="15" customHeight="1" x14ac:dyDescent="0.3">
      <c r="A32" s="25">
        <v>46166</v>
      </c>
      <c r="B32" s="26">
        <v>0.33333333333333331</v>
      </c>
      <c r="C32" s="26">
        <v>0.70833333333333337</v>
      </c>
      <c r="D32" s="26">
        <f t="shared" si="8"/>
        <v>0.37500000000000006</v>
      </c>
      <c r="E32" s="27"/>
      <c r="F32" s="27"/>
      <c r="G32" s="27"/>
      <c r="H32" s="27"/>
      <c r="I32" s="27"/>
      <c r="J32" s="17"/>
      <c r="K32" s="18"/>
      <c r="L32" s="16"/>
      <c r="M32" s="16"/>
      <c r="N32" s="16"/>
      <c r="O32" s="16"/>
      <c r="P32" s="20"/>
      <c r="Q32" s="17"/>
      <c r="R32" s="18"/>
    </row>
    <row r="33" spans="1:18" ht="15" customHeight="1" x14ac:dyDescent="0.3">
      <c r="A33" s="25">
        <v>46167</v>
      </c>
      <c r="B33" s="26">
        <v>0.33333333333333331</v>
      </c>
      <c r="C33" s="26">
        <v>0.70833333333333337</v>
      </c>
      <c r="D33" s="26">
        <f t="shared" si="8"/>
        <v>0.37500000000000006</v>
      </c>
      <c r="E33" s="27"/>
      <c r="F33" s="27"/>
      <c r="G33" s="27"/>
      <c r="H33" s="27"/>
      <c r="I33" s="27"/>
      <c r="J33" s="17"/>
      <c r="K33" s="18"/>
      <c r="L33" s="16"/>
      <c r="M33" s="16"/>
      <c r="N33" s="16"/>
      <c r="O33" s="16"/>
      <c r="P33" s="16"/>
      <c r="Q33" s="17"/>
      <c r="R33" s="18"/>
    </row>
    <row r="34" spans="1:18" ht="15" customHeight="1" x14ac:dyDescent="0.3">
      <c r="A34" s="25">
        <v>46168</v>
      </c>
      <c r="B34" s="26">
        <v>0.33333333333333298</v>
      </c>
      <c r="C34" s="26">
        <v>0.70833333333333304</v>
      </c>
      <c r="D34" s="26">
        <f t="shared" si="8"/>
        <v>0.37500000000000006</v>
      </c>
      <c r="E34" s="27"/>
      <c r="F34" s="27"/>
      <c r="G34" s="27"/>
      <c r="H34" s="27"/>
      <c r="I34" s="27"/>
      <c r="J34" s="17"/>
      <c r="K34" s="18"/>
      <c r="L34" s="16"/>
      <c r="M34" s="16"/>
      <c r="N34" s="16"/>
      <c r="O34" s="16"/>
      <c r="P34" s="16"/>
      <c r="Q34" s="17"/>
      <c r="R34" s="18"/>
    </row>
    <row r="35" spans="1:18" ht="15" customHeight="1" x14ac:dyDescent="0.3">
      <c r="A35" s="25">
        <v>46169</v>
      </c>
      <c r="B35" s="26">
        <v>0.33333333333333298</v>
      </c>
      <c r="C35" s="26">
        <v>0.70833333333333304</v>
      </c>
      <c r="D35" s="26">
        <f t="shared" si="8"/>
        <v>0.37500000000000006</v>
      </c>
      <c r="E35" s="27"/>
      <c r="F35" s="27"/>
      <c r="G35" s="27"/>
      <c r="H35" s="27"/>
      <c r="I35" s="27"/>
      <c r="J35" s="17"/>
      <c r="K35" s="18"/>
      <c r="L35" s="16"/>
      <c r="M35" s="16"/>
      <c r="N35" s="16"/>
      <c r="O35" s="16"/>
      <c r="P35" s="20"/>
      <c r="Q35" s="17"/>
      <c r="R35" s="23"/>
    </row>
    <row r="36" spans="1:18" ht="15" customHeight="1" x14ac:dyDescent="0.3">
      <c r="A36" s="25">
        <v>46170</v>
      </c>
      <c r="B36" s="26">
        <v>0.33333333333333298</v>
      </c>
      <c r="C36" s="26">
        <v>0.70833333333333304</v>
      </c>
      <c r="D36" s="26">
        <f t="shared" si="8"/>
        <v>0.37500000000000006</v>
      </c>
      <c r="E36" s="27"/>
      <c r="F36" s="27"/>
      <c r="G36" s="27"/>
      <c r="H36" s="27"/>
      <c r="I36" s="27"/>
      <c r="J36" s="17"/>
      <c r="K36" s="18"/>
      <c r="L36" s="16"/>
      <c r="M36" s="16"/>
      <c r="N36" s="16"/>
      <c r="O36" s="16"/>
      <c r="P36" s="20"/>
      <c r="Q36" s="17"/>
      <c r="R36" s="18"/>
    </row>
    <row r="37" spans="1:18" ht="15" customHeight="1" x14ac:dyDescent="0.3">
      <c r="A37" s="25">
        <v>46171</v>
      </c>
      <c r="B37" s="26">
        <v>0.33333333333333298</v>
      </c>
      <c r="C37" s="26">
        <v>0.70833333333333304</v>
      </c>
      <c r="D37" s="26">
        <f t="shared" ref="D37:D39" si="9">C37-B37</f>
        <v>0.37500000000000006</v>
      </c>
      <c r="E37" s="27"/>
      <c r="F37" s="27"/>
      <c r="G37" s="27"/>
      <c r="H37" s="27"/>
      <c r="I37" s="27"/>
      <c r="J37" s="17"/>
      <c r="K37" s="18"/>
      <c r="L37" s="16"/>
      <c r="M37" s="16"/>
      <c r="N37" s="16"/>
      <c r="O37" s="16"/>
      <c r="P37" s="20"/>
      <c r="Q37" s="17"/>
      <c r="R37" s="18"/>
    </row>
    <row r="38" spans="1:18" ht="15" customHeight="1" x14ac:dyDescent="0.3">
      <c r="A38" s="25">
        <v>46172</v>
      </c>
      <c r="B38" s="26">
        <v>0.33333333333333298</v>
      </c>
      <c r="C38" s="26">
        <v>0.70833333333333304</v>
      </c>
      <c r="D38" s="26">
        <f t="shared" si="9"/>
        <v>0.37500000000000006</v>
      </c>
      <c r="E38" s="27"/>
      <c r="F38" s="27"/>
      <c r="G38" s="27"/>
      <c r="H38" s="27"/>
      <c r="I38" s="27"/>
      <c r="J38" s="17"/>
      <c r="K38" s="18"/>
      <c r="L38" s="16"/>
      <c r="M38" s="16"/>
      <c r="N38" s="16"/>
      <c r="O38" s="16"/>
      <c r="P38" s="20"/>
      <c r="Q38" s="17"/>
      <c r="R38" s="18"/>
    </row>
    <row r="39" spans="1:18" ht="15" customHeight="1" x14ac:dyDescent="0.3">
      <c r="A39" s="25">
        <v>46173</v>
      </c>
      <c r="B39" s="26">
        <v>0.33333333333333298</v>
      </c>
      <c r="C39" s="26">
        <v>0.70833333333333304</v>
      </c>
      <c r="D39" s="26">
        <f t="shared" si="9"/>
        <v>0.37500000000000006</v>
      </c>
      <c r="E39" s="27"/>
      <c r="F39" s="27"/>
      <c r="G39" s="27"/>
      <c r="H39" s="27"/>
      <c r="I39" s="27"/>
      <c r="J39" s="17"/>
      <c r="K39" s="18"/>
      <c r="L39" s="16"/>
      <c r="M39" s="16"/>
      <c r="N39" s="16"/>
      <c r="O39" s="16"/>
      <c r="P39" s="20"/>
      <c r="Q39" s="17"/>
      <c r="R39" s="18"/>
    </row>
    <row r="40" spans="1:18" ht="15" customHeight="1" x14ac:dyDescent="0.3">
      <c r="A40" s="44"/>
      <c r="B40" s="45"/>
      <c r="C40" s="45"/>
      <c r="D40" s="46"/>
      <c r="E40" s="9">
        <f>COUNTIF(E9:E39,"P")</f>
        <v>0</v>
      </c>
      <c r="F40" s="9">
        <f>COUNTIF(F9:F39,"S")</f>
        <v>0</v>
      </c>
      <c r="G40" s="9">
        <f>COUNTIF(G9:G39,"BT")</f>
        <v>0</v>
      </c>
      <c r="H40" s="9">
        <f>COUNTIF(H9:H39,"PM")</f>
        <v>0</v>
      </c>
      <c r="I40" s="9">
        <f>COUNTIF(I9:I39,"V")</f>
        <v>0</v>
      </c>
      <c r="J40" s="9">
        <f>COUNTIF(J9:J39,"x")</f>
        <v>0</v>
      </c>
      <c r="K40" s="10"/>
    </row>
    <row r="41" spans="1:18" ht="15" customHeight="1" x14ac:dyDescent="0.3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9"/>
    </row>
    <row r="42" spans="1:18" ht="15" customHeight="1" x14ac:dyDescent="0.3">
      <c r="A42" s="50" t="s">
        <v>36</v>
      </c>
      <c r="B42" s="50"/>
      <c r="C42" s="50"/>
      <c r="D42" s="50" t="s">
        <v>37</v>
      </c>
      <c r="E42" s="50"/>
      <c r="F42" s="50"/>
      <c r="G42" s="50" t="s">
        <v>38</v>
      </c>
      <c r="H42" s="50"/>
      <c r="I42" s="50"/>
      <c r="J42" s="50"/>
    </row>
    <row r="43" spans="1:18" ht="15" customHeight="1" x14ac:dyDescent="0.3">
      <c r="A43" s="33" t="s">
        <v>39</v>
      </c>
      <c r="B43" s="34"/>
      <c r="C43" s="35"/>
      <c r="D43" s="33" t="s">
        <v>40</v>
      </c>
      <c r="E43" s="34"/>
      <c r="F43" s="35"/>
      <c r="G43" s="33" t="s">
        <v>41</v>
      </c>
      <c r="H43" s="34"/>
      <c r="I43" s="34"/>
      <c r="J43" s="35"/>
    </row>
    <row r="44" spans="1:18" ht="15" customHeight="1" x14ac:dyDescent="0.3">
      <c r="A44" s="36"/>
      <c r="B44" s="37"/>
      <c r="C44" s="38"/>
      <c r="D44" s="36"/>
      <c r="E44" s="37"/>
      <c r="F44" s="38"/>
      <c r="G44" s="36"/>
      <c r="H44" s="37"/>
      <c r="I44" s="37"/>
      <c r="J44" s="38"/>
    </row>
    <row r="45" spans="1:18" ht="19.5" customHeight="1" x14ac:dyDescent="0.3">
      <c r="A45" s="36"/>
      <c r="B45" s="37"/>
      <c r="C45" s="38"/>
      <c r="D45" s="36"/>
      <c r="E45" s="37"/>
      <c r="F45" s="38"/>
      <c r="G45" s="36"/>
      <c r="H45" s="37"/>
      <c r="I45" s="37"/>
      <c r="J45" s="38"/>
    </row>
    <row r="46" spans="1:18" ht="23.25" customHeight="1" x14ac:dyDescent="0.3">
      <c r="A46" s="39"/>
      <c r="B46" s="40"/>
      <c r="C46" s="41"/>
      <c r="D46" s="39"/>
      <c r="E46" s="40"/>
      <c r="F46" s="41"/>
      <c r="G46" s="39"/>
      <c r="H46" s="40"/>
      <c r="I46" s="40"/>
      <c r="J46" s="41"/>
      <c r="K46" s="11"/>
    </row>
    <row r="47" spans="1:18" ht="16.5" customHeight="1" x14ac:dyDescent="0.3">
      <c r="A47" s="42" t="s">
        <v>42</v>
      </c>
      <c r="B47" s="42"/>
      <c r="C47" s="42"/>
      <c r="D47" s="42" t="s">
        <v>42</v>
      </c>
      <c r="E47" s="42"/>
      <c r="F47" s="42"/>
      <c r="G47" s="42" t="s">
        <v>42</v>
      </c>
      <c r="H47" s="42"/>
      <c r="I47" s="42"/>
      <c r="J47" s="42"/>
    </row>
    <row r="48" spans="1:18" ht="15" customHeight="1" x14ac:dyDescent="0.3"/>
    <row r="49" ht="45" customHeight="1" x14ac:dyDescent="0.3"/>
    <row r="56" ht="15" customHeight="1" x14ac:dyDescent="0.3"/>
  </sheetData>
  <mergeCells count="34">
    <mergeCell ref="A4:B4"/>
    <mergeCell ref="A1:B1"/>
    <mergeCell ref="C1:G1"/>
    <mergeCell ref="A2:B2"/>
    <mergeCell ref="C2:E2"/>
    <mergeCell ref="A3:B3"/>
    <mergeCell ref="C3:F3"/>
    <mergeCell ref="A5:B5"/>
    <mergeCell ref="H5:I5"/>
    <mergeCell ref="A6:B6"/>
    <mergeCell ref="C6:D6"/>
    <mergeCell ref="A7:A8"/>
    <mergeCell ref="B7:C7"/>
    <mergeCell ref="D7:D8"/>
    <mergeCell ref="E7:J7"/>
    <mergeCell ref="K7:K8"/>
    <mergeCell ref="A40:D40"/>
    <mergeCell ref="A41:K41"/>
    <mergeCell ref="A42:C42"/>
    <mergeCell ref="D42:F42"/>
    <mergeCell ref="G42:J42"/>
    <mergeCell ref="A43:C46"/>
    <mergeCell ref="D43:F46"/>
    <mergeCell ref="G43:J46"/>
    <mergeCell ref="A47:C47"/>
    <mergeCell ref="D47:F47"/>
    <mergeCell ref="G47:J47"/>
    <mergeCell ref="Q7:Q8"/>
    <mergeCell ref="R7:R8"/>
    <mergeCell ref="L7:L8"/>
    <mergeCell ref="M7:M8"/>
    <mergeCell ref="N7:N8"/>
    <mergeCell ref="O7:O8"/>
    <mergeCell ref="P7:P8"/>
  </mergeCells>
  <phoneticPr fontId="15" type="noConversion"/>
  <pageMargins left="1" right="1" top="1" bottom="1" header="0.5" footer="0.5"/>
  <pageSetup paperSize="9" scale="49" orientation="landscape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Faisal Al Munawar Fathur Rahman</cp:lastModifiedBy>
  <cp:revision/>
  <cp:lastPrinted>2026-05-07T01:52:32Z</cp:lastPrinted>
  <dcterms:created xsi:type="dcterms:W3CDTF">2020-07-25T02:51:48Z</dcterms:created>
  <dcterms:modified xsi:type="dcterms:W3CDTF">2026-07-16T00:27:57Z</dcterms:modified>
  <cp:category/>
  <cp:contentStatus/>
</cp:coreProperties>
</file>