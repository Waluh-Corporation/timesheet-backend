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01810\GitHub\timesheet-generator\assets\templates\"/>
    </mc:Choice>
  </mc:AlternateContent>
  <xr:revisionPtr revIDLastSave="0" documentId="13_ncr:1_{A60E22CF-A027-4724-A652-633BAE558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i" sheetId="1" r:id="rId1"/>
  </sheets>
  <definedNames>
    <definedName name="_xlnm.Print_Area" localSheetId="0">Juni!$A$1:$R$52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1" l="1"/>
  <c r="I43" i="1"/>
  <c r="H43" i="1"/>
  <c r="G43" i="1"/>
  <c r="F4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12" i="1"/>
  <c r="E13" i="1" l="1"/>
</calcChain>
</file>

<file path=xl/sharedStrings.xml><?xml version="1.0" encoding="utf-8"?>
<sst xmlns="http://schemas.openxmlformats.org/spreadsheetml/2006/main" count="41" uniqueCount="35">
  <si>
    <t>ABSENSI MANUAL</t>
  </si>
  <si>
    <t>NAMA</t>
  </si>
  <si>
    <t>NPP BNI</t>
  </si>
  <si>
    <t>DIVISI</t>
  </si>
  <si>
    <t>DEPARTEMEN</t>
  </si>
  <si>
    <t>KELOMPOK</t>
  </si>
  <si>
    <t xml:space="preserve">PERIODE </t>
  </si>
  <si>
    <t>H : Hadir</t>
  </si>
  <si>
    <t>C = Cuti</t>
  </si>
  <si>
    <t>I=Izin</t>
  </si>
  <si>
    <t>S = Sakit</t>
  </si>
  <si>
    <t>L = Lembur</t>
  </si>
  <si>
    <t>No</t>
  </si>
  <si>
    <t>Tanggal</t>
  </si>
  <si>
    <t>Jam Masuk</t>
  </si>
  <si>
    <t>Jam Pulang</t>
  </si>
  <si>
    <t>Total Jam Kerja</t>
  </si>
  <si>
    <t>Status Kehadiran</t>
  </si>
  <si>
    <t>Project</t>
  </si>
  <si>
    <t>Project Code</t>
  </si>
  <si>
    <t>AIP Fitur</t>
  </si>
  <si>
    <t>Kegiatan</t>
  </si>
  <si>
    <t>Hadir</t>
  </si>
  <si>
    <t>Cuti</t>
  </si>
  <si>
    <t>Izin</t>
  </si>
  <si>
    <t>Sakit</t>
  </si>
  <si>
    <t>Lembur</t>
  </si>
  <si>
    <t>Jumlah</t>
  </si>
  <si>
    <t>Pemohon</t>
  </si>
  <si>
    <t>Diperiksa,</t>
  </si>
  <si>
    <t>Disetujui,</t>
  </si>
  <si>
    <t xml:space="preserve">         </t>
  </si>
  <si>
    <t>:</t>
  </si>
  <si>
    <t xml:space="preserve">: </t>
  </si>
  <si>
    <t>Nama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</si>
</sst>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-&quot;mmm&quot;-&quot;yy"/>
    <numFmt numFmtId="165" formatCode="h&quot;:&quot;mm"/>
    <numFmt numFmtId="166" formatCode="[$-13809]hh:mm:ss"/>
  </numFmts>
  <fonts count="18">
    <font>
      <sz val="11"/>
      <color theme="1"/>
      <name val="Calibri"/>
      <scheme val="minor"/>
    </font>
    <font>
      <sz val="10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0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9"/>
      <color rgb="FF333333"/>
      <name val="Lato"/>
    </font>
    <font>
      <b/>
      <sz val="10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9"/>
      <color rgb="FF333333"/>
      <name val="Lato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6" fontId="9" fillId="0" borderId="12" xfId="0" applyNumberFormat="1" applyFont="1" applyBorder="1" applyAlignment="1">
      <alignment vertical="center"/>
    </xf>
    <xf numFmtId="166" fontId="1" fillId="0" borderId="1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65" fontId="1" fillId="0" borderId="16" xfId="0" applyNumberFormat="1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165" fontId="1" fillId="0" borderId="12" xfId="0" applyNumberFormat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21" fontId="12" fillId="0" borderId="16" xfId="0" applyNumberFormat="1" applyFont="1" applyBorder="1" applyAlignment="1">
      <alignment vertical="center"/>
    </xf>
    <xf numFmtId="165" fontId="9" fillId="0" borderId="16" xfId="0" applyNumberFormat="1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/>
    </xf>
    <xf numFmtId="0" fontId="15" fillId="0" borderId="4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5" fillId="0" borderId="20" xfId="0" applyFont="1" applyBorder="1"/>
    <xf numFmtId="0" fontId="9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8" fillId="0" borderId="12" xfId="0" applyFont="1" applyBorder="1"/>
    <xf numFmtId="0" fontId="1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center" vertical="center"/>
    </xf>
    <xf numFmtId="0" fontId="8" fillId="0" borderId="16" xfId="0" applyFont="1" applyBorder="1"/>
    <xf numFmtId="0" fontId="11" fillId="0" borderId="12" xfId="0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7" fillId="0" borderId="4" xfId="0" applyFont="1" applyBorder="1"/>
    <xf numFmtId="0" fontId="9" fillId="0" borderId="12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5" fillId="0" borderId="7" xfId="0" applyFont="1" applyBorder="1"/>
    <xf numFmtId="0" fontId="3" fillId="0" borderId="3" xfId="0" applyFont="1" applyBorder="1" applyAlignment="1">
      <alignment horizontal="center" vertical="center"/>
    </xf>
    <xf numFmtId="0" fontId="5" fillId="0" borderId="8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3" fillId="0" borderId="0" xfId="0" applyFont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/>
    </xf>
    <xf numFmtId="166" fontId="9" fillId="0" borderId="13" xfId="0" applyNumberFormat="1" applyFont="1" applyBorder="1" applyAlignment="1">
      <alignment horizontal="left" vertical="center" wrapText="1"/>
    </xf>
    <xf numFmtId="166" fontId="9" fillId="0" borderId="14" xfId="0" applyNumberFormat="1" applyFont="1" applyBorder="1" applyAlignment="1">
      <alignment horizontal="left" vertical="center"/>
    </xf>
    <xf numFmtId="166" fontId="9" fillId="0" borderId="15" xfId="0" applyNumberFormat="1" applyFont="1" applyBorder="1" applyAlignment="1">
      <alignment horizontal="left" vertical="center"/>
    </xf>
    <xf numFmtId="21" fontId="17" fillId="0" borderId="17" xfId="0" applyNumberFormat="1" applyFont="1" applyBorder="1" applyAlignment="1">
      <alignment horizontal="center" vertical="center" wrapText="1"/>
    </xf>
    <xf numFmtId="21" fontId="17" fillId="0" borderId="18" xfId="0" applyNumberFormat="1" applyFont="1" applyBorder="1" applyAlignment="1">
      <alignment horizontal="center" vertical="center"/>
    </xf>
    <xf numFmtId="21" fontId="17" fillId="0" borderId="19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9" fillId="0" borderId="12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 vertical="top" wrapText="1"/>
    </xf>
    <xf numFmtId="21" fontId="12" fillId="0" borderId="17" xfId="0" applyNumberFormat="1" applyFont="1" applyBorder="1" applyAlignment="1">
      <alignment horizontal="left" vertical="center" wrapText="1"/>
    </xf>
    <xf numFmtId="21" fontId="12" fillId="0" borderId="18" xfId="0" applyNumberFormat="1" applyFont="1" applyBorder="1" applyAlignment="1">
      <alignment horizontal="left" vertical="center"/>
    </xf>
    <xf numFmtId="21" fontId="12" fillId="0" borderId="19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/>
    <xf numFmtId="0" fontId="1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95250</xdr:rowOff>
    </xdr:from>
    <xdr:ext cx="1438275" cy="7524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9"/>
  <sheetViews>
    <sheetView tabSelected="1" zoomScaleNormal="100" workbookViewId="0">
      <selection activeCell="J42" sqref="J42"/>
    </sheetView>
  </sheetViews>
  <sheetFormatPr defaultColWidth="14.44140625" defaultRowHeight="15" customHeight="1"/>
  <cols>
    <col min="1" max="1" width="4.6640625" customWidth="1"/>
    <col min="2" max="2" width="11" customWidth="1"/>
    <col min="3" max="3" width="8.44140625" customWidth="1"/>
    <col min="4" max="4" width="8.109375" customWidth="1"/>
    <col min="5" max="5" width="10.44140625" customWidth="1"/>
    <col min="6" max="7" width="7.88671875" customWidth="1"/>
    <col min="8" max="8" width="7.44140625" customWidth="1"/>
    <col min="9" max="9" width="7.6640625" customWidth="1"/>
    <col min="10" max="10" width="9.6640625" customWidth="1"/>
    <col min="11" max="11" width="25.33203125" customWidth="1"/>
    <col min="12" max="12" width="12.33203125" customWidth="1"/>
    <col min="13" max="13" width="22.6640625" customWidth="1"/>
    <col min="14" max="15" width="8.6640625" customWidth="1"/>
    <col min="16" max="16" width="8.33203125" customWidth="1"/>
    <col min="17" max="17" width="13.33203125" customWidth="1"/>
  </cols>
  <sheetData>
    <row r="1" spans="1:27" ht="14.4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4">
      <c r="A2" s="63"/>
      <c r="B2" s="64"/>
      <c r="C2" s="1"/>
      <c r="D2" s="2" t="s">
        <v>1</v>
      </c>
      <c r="E2" s="2"/>
      <c r="F2" s="2" t="s">
        <v>32</v>
      </c>
      <c r="G2" s="1"/>
      <c r="H2" s="1"/>
      <c r="I2" s="1"/>
      <c r="J2" s="1"/>
      <c r="K2" s="1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4">
      <c r="A3" s="63"/>
      <c r="B3" s="64"/>
      <c r="C3" s="1"/>
      <c r="D3" s="2" t="s">
        <v>2</v>
      </c>
      <c r="E3" s="2"/>
      <c r="F3" s="2" t="s">
        <v>32</v>
      </c>
      <c r="G3" s="1"/>
      <c r="H3" s="1"/>
      <c r="I3" s="1"/>
      <c r="J3" s="1"/>
      <c r="K3" s="1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4">
      <c r="A4" s="1"/>
      <c r="B4" s="1"/>
      <c r="C4" s="1"/>
      <c r="D4" s="2" t="s">
        <v>3</v>
      </c>
      <c r="E4" s="6"/>
      <c r="F4" s="2" t="s">
        <v>33</v>
      </c>
      <c r="G4" s="1"/>
      <c r="H4" s="1"/>
      <c r="I4" s="1"/>
      <c r="J4" s="1"/>
      <c r="K4" s="1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4">
      <c r="A5" s="1"/>
      <c r="B5" s="1"/>
      <c r="C5" s="1"/>
      <c r="D5" s="2" t="s">
        <v>4</v>
      </c>
      <c r="E5" s="6"/>
      <c r="F5" s="18" t="s">
        <v>32</v>
      </c>
      <c r="G5" s="1"/>
      <c r="H5" s="1"/>
      <c r="I5" s="1"/>
      <c r="J5" s="1"/>
      <c r="K5" s="1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4">
      <c r="A6" s="1"/>
      <c r="B6" s="1"/>
      <c r="C6" s="1"/>
      <c r="D6" s="2" t="s">
        <v>5</v>
      </c>
      <c r="E6" s="6"/>
      <c r="F6" s="2" t="s">
        <v>32</v>
      </c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4">
      <c r="A7" s="63"/>
      <c r="B7" s="64"/>
      <c r="C7" s="1"/>
      <c r="D7" s="2" t="s">
        <v>6</v>
      </c>
      <c r="E7" s="2"/>
      <c r="F7" s="18" t="s">
        <v>32</v>
      </c>
      <c r="G7" s="1"/>
      <c r="H7" s="1"/>
      <c r="I7" s="1"/>
      <c r="J7" s="1"/>
      <c r="K7" s="1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4">
      <c r="A8" s="5"/>
      <c r="B8" s="5"/>
      <c r="C8" s="1"/>
      <c r="D8" s="3"/>
      <c r="E8" s="3"/>
      <c r="F8" s="3"/>
      <c r="G8" s="1"/>
      <c r="H8" s="1"/>
      <c r="I8" s="1"/>
      <c r="J8" s="1"/>
      <c r="K8" s="1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4">
      <c r="A9" s="7"/>
      <c r="B9" s="7"/>
      <c r="C9" s="7"/>
      <c r="D9" s="7"/>
      <c r="E9" s="7"/>
      <c r="F9" s="7" t="s">
        <v>7</v>
      </c>
      <c r="G9" s="7" t="s">
        <v>8</v>
      </c>
      <c r="H9" s="7" t="s">
        <v>9</v>
      </c>
      <c r="I9" s="7" t="s">
        <v>10</v>
      </c>
      <c r="J9" s="7" t="s">
        <v>11</v>
      </c>
      <c r="K9" s="7"/>
      <c r="L9" s="8"/>
      <c r="M9" s="7"/>
      <c r="N9" s="7"/>
      <c r="O9" s="7"/>
      <c r="P9" s="7"/>
      <c r="Q9" s="7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4">
      <c r="A10" s="65" t="s">
        <v>12</v>
      </c>
      <c r="B10" s="67" t="s">
        <v>13</v>
      </c>
      <c r="C10" s="69" t="s">
        <v>14</v>
      </c>
      <c r="D10" s="69" t="s">
        <v>15</v>
      </c>
      <c r="E10" s="69" t="s">
        <v>16</v>
      </c>
      <c r="F10" s="70" t="s">
        <v>17</v>
      </c>
      <c r="G10" s="71"/>
      <c r="H10" s="71"/>
      <c r="I10" s="71"/>
      <c r="J10" s="72"/>
      <c r="K10" s="69" t="s">
        <v>18</v>
      </c>
      <c r="L10" s="69" t="s">
        <v>19</v>
      </c>
      <c r="M10" s="67" t="s">
        <v>20</v>
      </c>
      <c r="N10" s="73" t="s">
        <v>21</v>
      </c>
      <c r="O10" s="64"/>
      <c r="P10" s="64"/>
      <c r="Q10" s="74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4">
      <c r="A11" s="66"/>
      <c r="B11" s="68"/>
      <c r="C11" s="68"/>
      <c r="D11" s="68"/>
      <c r="E11" s="68"/>
      <c r="F11" s="9" t="s">
        <v>22</v>
      </c>
      <c r="G11" s="9" t="s">
        <v>23</v>
      </c>
      <c r="H11" s="9" t="s">
        <v>24</v>
      </c>
      <c r="I11" s="9" t="s">
        <v>25</v>
      </c>
      <c r="J11" s="9" t="s">
        <v>26</v>
      </c>
      <c r="K11" s="68"/>
      <c r="L11" s="68"/>
      <c r="M11" s="68"/>
      <c r="N11" s="75"/>
      <c r="O11" s="75"/>
      <c r="P11" s="75"/>
      <c r="Q11" s="74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64.2" customHeight="1">
      <c r="A12" s="20">
        <v>1</v>
      </c>
      <c r="B12" s="21">
        <v>46204</v>
      </c>
      <c r="C12" s="23">
        <v>0.33333333333333331</v>
      </c>
      <c r="D12" s="23">
        <v>0.70833333333333337</v>
      </c>
      <c r="E12" s="23">
        <f>D12-C12</f>
        <v>0.37500000000000006</v>
      </c>
      <c r="F12" s="24"/>
      <c r="G12" s="10"/>
      <c r="H12" s="11"/>
      <c r="I12" s="10"/>
      <c r="J12" s="10"/>
      <c r="K12" s="25"/>
      <c r="L12" s="26"/>
      <c r="M12" s="8"/>
      <c r="N12" s="76"/>
      <c r="O12" s="77"/>
      <c r="P12" s="77"/>
      <c r="Q12" s="77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64.2" customHeight="1">
      <c r="A13" s="20">
        <v>2</v>
      </c>
      <c r="B13" s="21">
        <v>46205</v>
      </c>
      <c r="C13" s="23">
        <v>0.33333333333333331</v>
      </c>
      <c r="D13" s="23">
        <v>0.70833333333333337</v>
      </c>
      <c r="E13" s="23">
        <f>D13-C13</f>
        <v>0.37500000000000006</v>
      </c>
      <c r="F13" s="24"/>
      <c r="G13" s="11"/>
      <c r="H13" s="10"/>
      <c r="I13" s="10"/>
      <c r="J13" s="11"/>
      <c r="K13" s="25"/>
      <c r="L13" s="26"/>
      <c r="M13" s="8"/>
      <c r="N13" s="87"/>
      <c r="O13" s="87"/>
      <c r="P13" s="87"/>
      <c r="Q13" s="87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64.2" customHeight="1">
      <c r="A14" s="20">
        <v>3</v>
      </c>
      <c r="B14" s="21">
        <v>46206</v>
      </c>
      <c r="C14" s="23">
        <v>0.33333333333333331</v>
      </c>
      <c r="D14" s="22">
        <v>0.70833333333333337</v>
      </c>
      <c r="E14" s="23">
        <f t="shared" ref="E14:E42" si="0">D14-C14</f>
        <v>0.37500000000000006</v>
      </c>
      <c r="F14" s="24"/>
      <c r="G14" s="11"/>
      <c r="H14" s="10"/>
      <c r="I14" s="10"/>
      <c r="J14" s="10"/>
      <c r="K14" s="25"/>
      <c r="L14" s="26"/>
      <c r="M14" s="8"/>
      <c r="N14" s="88"/>
      <c r="O14" s="88"/>
      <c r="P14" s="88"/>
      <c r="Q14" s="88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64.2" customHeight="1">
      <c r="A15" s="20">
        <v>4</v>
      </c>
      <c r="B15" s="21">
        <v>46207</v>
      </c>
      <c r="C15" s="23">
        <v>0.33333333333333298</v>
      </c>
      <c r="D15" s="23">
        <v>0.70833333333333304</v>
      </c>
      <c r="E15" s="23">
        <f t="shared" si="0"/>
        <v>0.37500000000000006</v>
      </c>
      <c r="F15" s="24"/>
      <c r="G15" s="10"/>
      <c r="H15" s="10"/>
      <c r="I15" s="10"/>
      <c r="J15" s="10"/>
      <c r="K15" s="25"/>
      <c r="L15" s="26"/>
      <c r="M15" s="57"/>
      <c r="N15" s="88"/>
      <c r="O15" s="88"/>
      <c r="P15" s="88"/>
      <c r="Q15" s="88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4.2" customHeight="1">
      <c r="A16" s="20">
        <v>5</v>
      </c>
      <c r="B16" s="21">
        <v>46208</v>
      </c>
      <c r="C16" s="23">
        <v>0.33333333333333298</v>
      </c>
      <c r="D16" s="22">
        <v>0.70833333333333304</v>
      </c>
      <c r="E16" s="23">
        <f t="shared" si="0"/>
        <v>0.37500000000000006</v>
      </c>
      <c r="F16" s="24"/>
      <c r="G16" s="10"/>
      <c r="H16" s="11"/>
      <c r="I16" s="10"/>
      <c r="J16" s="10"/>
      <c r="K16" s="25"/>
      <c r="L16" s="26"/>
      <c r="M16" s="8"/>
      <c r="N16" s="88"/>
      <c r="O16" s="88"/>
      <c r="P16" s="88"/>
      <c r="Q16" s="88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64.2" customHeight="1">
      <c r="A17" s="20">
        <v>6</v>
      </c>
      <c r="B17" s="21">
        <v>46209</v>
      </c>
      <c r="C17" s="23">
        <v>0.33333333333333298</v>
      </c>
      <c r="D17" s="23">
        <v>0.70833333333333304</v>
      </c>
      <c r="E17" s="23">
        <f t="shared" si="0"/>
        <v>0.37500000000000006</v>
      </c>
      <c r="F17" s="24"/>
      <c r="G17" s="10"/>
      <c r="H17" s="11"/>
      <c r="I17" s="10"/>
      <c r="J17" s="10"/>
      <c r="K17" s="25"/>
      <c r="L17" s="26"/>
      <c r="M17" s="11"/>
      <c r="N17" s="60"/>
      <c r="O17" s="61"/>
      <c r="P17" s="61"/>
      <c r="Q17" s="62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64.2" customHeight="1">
      <c r="A18" s="20">
        <v>7</v>
      </c>
      <c r="B18" s="21">
        <v>46210</v>
      </c>
      <c r="C18" s="23">
        <v>0.33333333333333298</v>
      </c>
      <c r="D18" s="22">
        <v>0.70833333333333304</v>
      </c>
      <c r="E18" s="23">
        <f t="shared" si="0"/>
        <v>0.37500000000000006</v>
      </c>
      <c r="F18" s="10"/>
      <c r="G18" s="10"/>
      <c r="H18" s="10"/>
      <c r="I18" s="10"/>
      <c r="J18" s="10"/>
      <c r="K18" s="25"/>
      <c r="L18" s="26"/>
      <c r="M18" s="11"/>
      <c r="N18" s="60"/>
      <c r="O18" s="61"/>
      <c r="P18" s="61"/>
      <c r="Q18" s="62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64.2" customHeight="1">
      <c r="A19" s="20">
        <v>8</v>
      </c>
      <c r="B19" s="21">
        <v>46211</v>
      </c>
      <c r="C19" s="23">
        <v>0.33333333333333298</v>
      </c>
      <c r="D19" s="23">
        <v>0.70833333333333304</v>
      </c>
      <c r="E19" s="23">
        <f t="shared" si="0"/>
        <v>0.37500000000000006</v>
      </c>
      <c r="F19" s="24"/>
      <c r="G19" s="10"/>
      <c r="H19" s="10"/>
      <c r="I19" s="10"/>
      <c r="J19" s="10"/>
      <c r="K19" s="25"/>
      <c r="L19" s="26"/>
      <c r="M19" s="11"/>
      <c r="N19" s="84"/>
      <c r="O19" s="85"/>
      <c r="P19" s="85"/>
      <c r="Q19" s="86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64.2" customHeight="1">
      <c r="A20" s="20">
        <v>9</v>
      </c>
      <c r="B20" s="21">
        <v>46212</v>
      </c>
      <c r="C20" s="23">
        <v>0.33333333333333298</v>
      </c>
      <c r="D20" s="22">
        <v>0.70833333333333304</v>
      </c>
      <c r="E20" s="23">
        <f t="shared" si="0"/>
        <v>0.37500000000000006</v>
      </c>
      <c r="F20" s="24"/>
      <c r="G20" s="10"/>
      <c r="H20" s="10"/>
      <c r="I20" s="10"/>
      <c r="J20" s="10"/>
      <c r="K20" s="25"/>
      <c r="L20" s="26"/>
      <c r="M20" s="27"/>
      <c r="N20" s="84"/>
      <c r="O20" s="85"/>
      <c r="P20" s="85"/>
      <c r="Q20" s="86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64.2" customHeight="1">
      <c r="A21" s="20">
        <v>10</v>
      </c>
      <c r="B21" s="21">
        <v>46213</v>
      </c>
      <c r="C21" s="23">
        <v>0.33333333333333298</v>
      </c>
      <c r="D21" s="23">
        <v>0.70833333333333304</v>
      </c>
      <c r="E21" s="23">
        <f t="shared" si="0"/>
        <v>0.37500000000000006</v>
      </c>
      <c r="F21" s="12"/>
      <c r="G21" s="12"/>
      <c r="H21" s="12"/>
      <c r="I21" s="12"/>
      <c r="J21" s="12"/>
      <c r="K21" s="25"/>
      <c r="L21" s="26"/>
      <c r="M21" s="28"/>
      <c r="N21" s="84"/>
      <c r="O21" s="85"/>
      <c r="P21" s="85"/>
      <c r="Q21" s="86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64.2" customHeight="1">
      <c r="A22" s="20">
        <v>11</v>
      </c>
      <c r="B22" s="21">
        <v>46214</v>
      </c>
      <c r="C22" s="23">
        <v>0.33333333333333298</v>
      </c>
      <c r="D22" s="22">
        <v>0.70833333333333304</v>
      </c>
      <c r="E22" s="23">
        <f t="shared" si="0"/>
        <v>0.37500000000000006</v>
      </c>
      <c r="F22" s="29"/>
      <c r="G22" s="30"/>
      <c r="H22" s="30"/>
      <c r="I22" s="30"/>
      <c r="J22" s="30"/>
      <c r="K22" s="25"/>
      <c r="L22" s="26"/>
      <c r="M22" s="30"/>
      <c r="N22" s="78"/>
      <c r="O22" s="79"/>
      <c r="P22" s="79"/>
      <c r="Q22" s="80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64.2" customHeight="1">
      <c r="A23" s="20">
        <v>12</v>
      </c>
      <c r="B23" s="21">
        <v>46215</v>
      </c>
      <c r="C23" s="23">
        <v>0.33333333333333298</v>
      </c>
      <c r="D23" s="23">
        <v>0.70833333333333304</v>
      </c>
      <c r="E23" s="23">
        <f t="shared" si="0"/>
        <v>0.37500000000000006</v>
      </c>
      <c r="F23" s="30"/>
      <c r="G23" s="30"/>
      <c r="H23" s="30"/>
      <c r="I23" s="30"/>
      <c r="J23" s="30"/>
      <c r="K23" s="25"/>
      <c r="L23" s="26"/>
      <c r="M23" s="30"/>
      <c r="N23" s="78"/>
      <c r="O23" s="79"/>
      <c r="P23" s="79"/>
      <c r="Q23" s="80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64.2" customHeight="1">
      <c r="A24" s="31">
        <v>13</v>
      </c>
      <c r="B24" s="21">
        <v>46216</v>
      </c>
      <c r="C24" s="23">
        <v>0.33333333333333298</v>
      </c>
      <c r="D24" s="22">
        <v>0.70833333333333304</v>
      </c>
      <c r="E24" s="23">
        <f t="shared" si="0"/>
        <v>0.37500000000000006</v>
      </c>
      <c r="F24" s="32"/>
      <c r="G24" s="32"/>
      <c r="H24" s="32"/>
      <c r="I24" s="32"/>
      <c r="J24" s="32"/>
      <c r="K24" s="25"/>
      <c r="L24" s="26"/>
      <c r="M24" s="32"/>
      <c r="N24" s="60"/>
      <c r="O24" s="61"/>
      <c r="P24" s="61"/>
      <c r="Q24" s="62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64.2" customHeight="1">
      <c r="A25" s="33">
        <v>14</v>
      </c>
      <c r="B25" s="21">
        <v>46217</v>
      </c>
      <c r="C25" s="23">
        <v>0.33333333333333298</v>
      </c>
      <c r="D25" s="23">
        <v>0.70833333333333304</v>
      </c>
      <c r="E25" s="23">
        <f t="shared" si="0"/>
        <v>0.37500000000000006</v>
      </c>
      <c r="F25" s="34"/>
      <c r="G25" s="34"/>
      <c r="H25" s="34"/>
      <c r="I25" s="34"/>
      <c r="J25" s="34"/>
      <c r="K25" s="25"/>
      <c r="L25" s="26"/>
      <c r="M25" s="34"/>
      <c r="N25" s="60"/>
      <c r="O25" s="61"/>
      <c r="P25" s="61"/>
      <c r="Q25" s="62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64.2" customHeight="1">
      <c r="A26" s="20">
        <v>15</v>
      </c>
      <c r="B26" s="21">
        <v>46218</v>
      </c>
      <c r="C26" s="23">
        <v>0.33333333333333298</v>
      </c>
      <c r="D26" s="22">
        <v>0.70833333333333304</v>
      </c>
      <c r="E26" s="23">
        <f t="shared" si="0"/>
        <v>0.37500000000000006</v>
      </c>
      <c r="F26" s="24"/>
      <c r="G26" s="10"/>
      <c r="H26" s="10"/>
      <c r="I26" s="10"/>
      <c r="J26" s="11"/>
      <c r="K26" s="25"/>
      <c r="L26" s="26"/>
      <c r="M26" s="11"/>
      <c r="N26" s="92"/>
      <c r="O26" s="93"/>
      <c r="P26" s="93"/>
      <c r="Q26" s="94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64.2" customHeight="1">
      <c r="A27" s="20">
        <v>16</v>
      </c>
      <c r="B27" s="21">
        <v>46219</v>
      </c>
      <c r="C27" s="23">
        <v>0.33333333333333298</v>
      </c>
      <c r="D27" s="23">
        <v>0.70833333333333304</v>
      </c>
      <c r="E27" s="23">
        <f t="shared" si="0"/>
        <v>0.37500000000000006</v>
      </c>
      <c r="F27" s="12"/>
      <c r="G27" s="12"/>
      <c r="H27" s="12"/>
      <c r="I27" s="12"/>
      <c r="J27" s="12"/>
      <c r="K27" s="25"/>
      <c r="L27" s="26"/>
      <c r="M27" s="35"/>
      <c r="N27" s="60"/>
      <c r="O27" s="95"/>
      <c r="P27" s="95"/>
      <c r="Q27" s="96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64.2" customHeight="1">
      <c r="A28" s="20">
        <v>17</v>
      </c>
      <c r="B28" s="21">
        <v>46220</v>
      </c>
      <c r="C28" s="23">
        <v>0.33333333333333298</v>
      </c>
      <c r="D28" s="22">
        <v>0.70833333333333304</v>
      </c>
      <c r="E28" s="23">
        <f t="shared" si="0"/>
        <v>0.37500000000000006</v>
      </c>
      <c r="F28" s="36"/>
      <c r="G28" s="36"/>
      <c r="H28" s="36"/>
      <c r="I28" s="36"/>
      <c r="J28" s="36"/>
      <c r="K28" s="25"/>
      <c r="L28" s="26"/>
      <c r="M28" s="36"/>
      <c r="N28" s="84"/>
      <c r="O28" s="85"/>
      <c r="P28" s="85"/>
      <c r="Q28" s="86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64.2" customHeight="1">
      <c r="A29" s="14">
        <v>18</v>
      </c>
      <c r="B29" s="21">
        <v>46221</v>
      </c>
      <c r="C29" s="23">
        <v>0.33333333333333298</v>
      </c>
      <c r="D29" s="23">
        <v>0.70833333333333304</v>
      </c>
      <c r="E29" s="23">
        <f t="shared" si="0"/>
        <v>0.37500000000000006</v>
      </c>
      <c r="F29" s="37"/>
      <c r="G29" s="32"/>
      <c r="H29" s="32"/>
      <c r="I29" s="32"/>
      <c r="J29" s="32"/>
      <c r="K29" s="25"/>
      <c r="L29" s="26"/>
      <c r="M29" s="32"/>
      <c r="N29" s="84"/>
      <c r="O29" s="85"/>
      <c r="P29" s="85"/>
      <c r="Q29" s="86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64.2" customHeight="1">
      <c r="A30" s="33">
        <v>19</v>
      </c>
      <c r="B30" s="21">
        <v>46222</v>
      </c>
      <c r="C30" s="23">
        <v>0.33333333333333298</v>
      </c>
      <c r="D30" s="22">
        <v>0.70833333333333304</v>
      </c>
      <c r="E30" s="23">
        <f t="shared" si="0"/>
        <v>0.37500000000000006</v>
      </c>
      <c r="F30" s="34"/>
      <c r="G30" s="34"/>
      <c r="H30" s="34"/>
      <c r="I30" s="34"/>
      <c r="J30" s="34"/>
      <c r="K30" s="25"/>
      <c r="L30" s="26"/>
      <c r="M30" s="34"/>
      <c r="N30" s="84"/>
      <c r="O30" s="85"/>
      <c r="P30" s="85"/>
      <c r="Q30" s="86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64.2" customHeight="1">
      <c r="A31" s="20">
        <v>20</v>
      </c>
      <c r="B31" s="21">
        <v>46223</v>
      </c>
      <c r="C31" s="23">
        <v>0.33333333333333298</v>
      </c>
      <c r="D31" s="23">
        <v>0.70833333333333304</v>
      </c>
      <c r="E31" s="23">
        <f t="shared" si="0"/>
        <v>0.37500000000000006</v>
      </c>
      <c r="F31" s="10"/>
      <c r="G31" s="10"/>
      <c r="H31" s="11"/>
      <c r="I31" s="10"/>
      <c r="J31" s="10"/>
      <c r="K31" s="25"/>
      <c r="L31" s="26"/>
      <c r="M31" s="11"/>
      <c r="N31" s="81"/>
      <c r="O31" s="82"/>
      <c r="P31" s="82"/>
      <c r="Q31" s="83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64.2" customHeight="1">
      <c r="A32" s="20">
        <v>21</v>
      </c>
      <c r="B32" s="21">
        <v>46224</v>
      </c>
      <c r="C32" s="23">
        <v>0.33333333333333298</v>
      </c>
      <c r="D32" s="22">
        <v>0.70833333333333304</v>
      </c>
      <c r="E32" s="23">
        <f t="shared" si="0"/>
        <v>0.37500000000000006</v>
      </c>
      <c r="F32" s="10"/>
      <c r="G32" s="10"/>
      <c r="H32" s="10"/>
      <c r="I32" s="10"/>
      <c r="J32" s="10"/>
      <c r="K32" s="25"/>
      <c r="L32" s="26"/>
      <c r="M32" s="11"/>
      <c r="N32" s="81"/>
      <c r="O32" s="82"/>
      <c r="P32" s="82"/>
      <c r="Q32" s="83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64.2" customHeight="1">
      <c r="A33" s="20">
        <v>22</v>
      </c>
      <c r="B33" s="21">
        <v>46225</v>
      </c>
      <c r="C33" s="23">
        <v>0.33333333333333298</v>
      </c>
      <c r="D33" s="23">
        <v>0.70833333333333304</v>
      </c>
      <c r="E33" s="23">
        <f t="shared" si="0"/>
        <v>0.37500000000000006</v>
      </c>
      <c r="F33" s="24"/>
      <c r="G33" s="10"/>
      <c r="H33" s="10"/>
      <c r="I33" s="10"/>
      <c r="J33" s="10"/>
      <c r="K33" s="25"/>
      <c r="L33" s="26"/>
      <c r="M33" s="11"/>
      <c r="N33" s="89"/>
      <c r="O33" s="90"/>
      <c r="P33" s="90"/>
      <c r="Q33" s="9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64.2" customHeight="1">
      <c r="A34" s="38">
        <v>23</v>
      </c>
      <c r="B34" s="21">
        <v>46226</v>
      </c>
      <c r="C34" s="23">
        <v>0.33333333333333298</v>
      </c>
      <c r="D34" s="22">
        <v>0.70833333333333304</v>
      </c>
      <c r="E34" s="23">
        <f t="shared" si="0"/>
        <v>0.37500000000000006</v>
      </c>
      <c r="F34" s="39"/>
      <c r="G34" s="39"/>
      <c r="H34" s="39"/>
      <c r="I34" s="39"/>
      <c r="J34" s="39"/>
      <c r="K34" s="40"/>
      <c r="L34" s="41"/>
      <c r="M34" s="42"/>
      <c r="N34" s="58"/>
      <c r="O34" s="59"/>
      <c r="P34" s="59"/>
      <c r="Q34" s="59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64.2" customHeight="1">
      <c r="A35" s="43">
        <v>24</v>
      </c>
      <c r="B35" s="21">
        <v>46227</v>
      </c>
      <c r="C35" s="23">
        <v>0.33333333333333298</v>
      </c>
      <c r="D35" s="23">
        <v>0.70833333333333304</v>
      </c>
      <c r="E35" s="23">
        <f t="shared" si="0"/>
        <v>0.37500000000000006</v>
      </c>
      <c r="F35" s="44"/>
      <c r="G35" s="44"/>
      <c r="H35" s="44"/>
      <c r="I35" s="44"/>
      <c r="J35" s="44"/>
      <c r="K35" s="40"/>
      <c r="L35" s="41"/>
      <c r="M35" s="45"/>
      <c r="N35" s="58"/>
      <c r="O35" s="59"/>
      <c r="P35" s="59"/>
      <c r="Q35" s="59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64.2" customHeight="1">
      <c r="A36" s="33">
        <v>25</v>
      </c>
      <c r="B36" s="21">
        <v>46228</v>
      </c>
      <c r="C36" s="23">
        <v>0.33333333333333298</v>
      </c>
      <c r="D36" s="22">
        <v>0.70833333333333304</v>
      </c>
      <c r="E36" s="23">
        <f t="shared" si="0"/>
        <v>0.37500000000000006</v>
      </c>
      <c r="F36" s="46"/>
      <c r="G36" s="47"/>
      <c r="H36" s="47"/>
      <c r="I36" s="47"/>
      <c r="J36" s="47"/>
      <c r="K36" s="25"/>
      <c r="L36" s="26"/>
      <c r="M36" s="48"/>
      <c r="N36" s="58"/>
      <c r="O36" s="59"/>
      <c r="P36" s="59"/>
      <c r="Q36" s="59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64.2" customHeight="1">
      <c r="A37" s="33">
        <v>26</v>
      </c>
      <c r="B37" s="21">
        <v>46229</v>
      </c>
      <c r="C37" s="23">
        <v>0.33333333333333298</v>
      </c>
      <c r="D37" s="23">
        <v>0.70833333333333304</v>
      </c>
      <c r="E37" s="23">
        <f t="shared" si="0"/>
        <v>0.37500000000000006</v>
      </c>
      <c r="F37" s="46"/>
      <c r="G37" s="47"/>
      <c r="H37" s="47"/>
      <c r="I37" s="47"/>
      <c r="J37" s="47"/>
      <c r="K37" s="25"/>
      <c r="L37" s="26"/>
      <c r="M37" s="48"/>
      <c r="N37" s="58"/>
      <c r="O37" s="59"/>
      <c r="P37" s="59"/>
      <c r="Q37" s="59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64.2" customHeight="1">
      <c r="A38" s="33">
        <v>27</v>
      </c>
      <c r="B38" s="21">
        <v>46230</v>
      </c>
      <c r="C38" s="23">
        <v>0.33333333333333298</v>
      </c>
      <c r="D38" s="22">
        <v>0.70833333333333304</v>
      </c>
      <c r="E38" s="23">
        <f t="shared" si="0"/>
        <v>0.37500000000000006</v>
      </c>
      <c r="F38" s="46"/>
      <c r="G38" s="47"/>
      <c r="H38" s="47"/>
      <c r="I38" s="47"/>
      <c r="J38" s="47"/>
      <c r="K38" s="25"/>
      <c r="L38" s="26"/>
      <c r="M38" s="48"/>
      <c r="N38" s="81"/>
      <c r="O38" s="82"/>
      <c r="P38" s="82"/>
      <c r="Q38" s="83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64.2" customHeight="1">
      <c r="A39" s="33">
        <v>28</v>
      </c>
      <c r="B39" s="21">
        <v>46231</v>
      </c>
      <c r="C39" s="23">
        <v>0.33333333333333298</v>
      </c>
      <c r="D39" s="23">
        <v>0.70833333333333304</v>
      </c>
      <c r="E39" s="23">
        <f t="shared" si="0"/>
        <v>0.37500000000000006</v>
      </c>
      <c r="F39" s="46"/>
      <c r="G39" s="47"/>
      <c r="H39" s="47"/>
      <c r="I39" s="47"/>
      <c r="J39" s="47"/>
      <c r="K39" s="25"/>
      <c r="L39" s="26"/>
      <c r="M39" s="48"/>
      <c r="N39" s="81"/>
      <c r="O39" s="82"/>
      <c r="P39" s="82"/>
      <c r="Q39" s="83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64.2" customHeight="1">
      <c r="A40" s="33">
        <v>29</v>
      </c>
      <c r="B40" s="21">
        <v>46232</v>
      </c>
      <c r="C40" s="23">
        <v>0.33333333333333298</v>
      </c>
      <c r="D40" s="22">
        <v>0.70833333333333304</v>
      </c>
      <c r="E40" s="23">
        <f t="shared" si="0"/>
        <v>0.37500000000000006</v>
      </c>
      <c r="F40" s="46"/>
      <c r="G40" s="47"/>
      <c r="H40" s="47"/>
      <c r="I40" s="47"/>
      <c r="J40" s="47"/>
      <c r="K40" s="25"/>
      <c r="L40" s="26"/>
      <c r="M40" s="48"/>
      <c r="N40" s="100"/>
      <c r="O40" s="101"/>
      <c r="P40" s="101"/>
      <c r="Q40" s="102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64.2" customHeight="1">
      <c r="A41" s="49">
        <v>30</v>
      </c>
      <c r="B41" s="21">
        <v>46233</v>
      </c>
      <c r="C41" s="23">
        <v>0.33333333333333298</v>
      </c>
      <c r="D41" s="23">
        <v>0.70833333333333304</v>
      </c>
      <c r="E41" s="23">
        <f t="shared" si="0"/>
        <v>0.37500000000000006</v>
      </c>
      <c r="F41" s="50"/>
      <c r="G41" s="51"/>
      <c r="H41" s="51"/>
      <c r="I41" s="51"/>
      <c r="J41" s="51"/>
      <c r="K41" s="52"/>
      <c r="L41" s="53"/>
      <c r="M41" s="54"/>
      <c r="N41" s="58"/>
      <c r="O41" s="59"/>
      <c r="P41" s="59"/>
      <c r="Q41" s="59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64.2" customHeight="1">
      <c r="A42" s="33">
        <v>31</v>
      </c>
      <c r="B42" s="21">
        <v>46234</v>
      </c>
      <c r="C42" s="23">
        <v>0.33333333333333298</v>
      </c>
      <c r="D42" s="23">
        <v>0.70833333333333304</v>
      </c>
      <c r="E42" s="23">
        <f t="shared" si="0"/>
        <v>0.37500000000000006</v>
      </c>
      <c r="F42" s="46"/>
      <c r="G42" s="47"/>
      <c r="H42" s="47"/>
      <c r="I42" s="47"/>
      <c r="J42" s="47"/>
      <c r="K42" s="55"/>
      <c r="L42" s="56"/>
      <c r="M42" s="48"/>
      <c r="N42" s="58"/>
      <c r="O42" s="59"/>
      <c r="P42" s="59"/>
      <c r="Q42" s="59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2"/>
      <c r="E43" s="9" t="s">
        <v>27</v>
      </c>
      <c r="F43" s="11">
        <f>COUNTIF(F12:F42,"H")</f>
        <v>0</v>
      </c>
      <c r="G43" s="11">
        <f>COUNTIF(G12:G42,"C")</f>
        <v>0</v>
      </c>
      <c r="H43" s="11">
        <f>COUNTIF(H12:H42,"I")</f>
        <v>0</v>
      </c>
      <c r="I43" s="17">
        <f>COUNTIF(I12:I42,"S")</f>
        <v>0</v>
      </c>
      <c r="J43" s="19">
        <f>COUNTIF(J12:J42,"L")</f>
        <v>0</v>
      </c>
      <c r="K43" s="1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2"/>
      <c r="C46" s="70" t="s">
        <v>28</v>
      </c>
      <c r="D46" s="71"/>
      <c r="E46" s="71"/>
      <c r="F46" s="71"/>
      <c r="G46" s="72"/>
      <c r="H46" s="70" t="s">
        <v>29</v>
      </c>
      <c r="I46" s="71"/>
      <c r="J46" s="71"/>
      <c r="K46" s="72"/>
      <c r="L46" s="70" t="s">
        <v>30</v>
      </c>
      <c r="M46" s="72"/>
      <c r="N46" s="73"/>
      <c r="O46" s="64"/>
      <c r="P46" s="6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2"/>
      <c r="C47" s="1"/>
      <c r="D47" s="1"/>
      <c r="E47" s="1"/>
      <c r="F47" s="1"/>
      <c r="G47" s="12"/>
      <c r="H47" s="13"/>
      <c r="I47" s="1"/>
      <c r="J47" s="1"/>
      <c r="K47" s="12"/>
      <c r="L47" s="14"/>
      <c r="M47" s="12"/>
      <c r="N47" s="1"/>
      <c r="O47" s="15"/>
      <c r="P47" s="1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2"/>
      <c r="C48" s="1"/>
      <c r="D48" s="1"/>
      <c r="E48" s="1"/>
      <c r="F48" s="1"/>
      <c r="G48" s="12"/>
      <c r="H48" s="13"/>
      <c r="I48" s="1"/>
      <c r="J48" s="1"/>
      <c r="K48" s="12"/>
      <c r="L48" s="14"/>
      <c r="M48" s="12"/>
      <c r="N48" s="1"/>
      <c r="O48" s="15"/>
      <c r="P48" s="15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2"/>
      <c r="C49" s="1"/>
      <c r="D49" s="1"/>
      <c r="E49" s="1"/>
      <c r="F49" s="1"/>
      <c r="G49" s="12"/>
      <c r="H49" s="13"/>
      <c r="I49" s="1"/>
      <c r="J49" s="1"/>
      <c r="K49" s="12"/>
      <c r="L49" s="14"/>
      <c r="M49" s="12"/>
      <c r="N49" s="1"/>
      <c r="O49" s="15"/>
      <c r="P49" s="15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2"/>
      <c r="C50" s="1"/>
      <c r="D50" s="1"/>
      <c r="E50" s="1"/>
      <c r="F50" s="1"/>
      <c r="G50" s="12"/>
      <c r="H50" s="13"/>
      <c r="I50" s="1"/>
      <c r="J50" s="1"/>
      <c r="K50" s="12"/>
      <c r="L50" s="14"/>
      <c r="M50" s="12"/>
      <c r="N50" s="1"/>
      <c r="O50" s="15"/>
      <c r="P50" s="15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2"/>
      <c r="C51" s="7" t="s">
        <v>31</v>
      </c>
      <c r="D51" s="7"/>
      <c r="E51" s="7"/>
      <c r="F51" s="7"/>
      <c r="G51" s="10"/>
      <c r="H51" s="16"/>
      <c r="I51" s="7"/>
      <c r="J51" s="7"/>
      <c r="K51" s="10"/>
      <c r="L51" s="17"/>
      <c r="M51" s="10"/>
      <c r="N51" s="1"/>
      <c r="O51" s="15"/>
      <c r="P51" s="15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2"/>
      <c r="C52" s="97" t="s">
        <v>34</v>
      </c>
      <c r="D52" s="98"/>
      <c r="E52" s="98"/>
      <c r="F52" s="98"/>
      <c r="G52" s="68"/>
      <c r="H52" s="97" t="s">
        <v>34</v>
      </c>
      <c r="I52" s="98"/>
      <c r="J52" s="98"/>
      <c r="K52" s="98"/>
      <c r="L52" s="97" t="s">
        <v>34</v>
      </c>
      <c r="M52" s="68"/>
      <c r="N52" s="99"/>
      <c r="O52" s="64"/>
      <c r="P52" s="6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4"/>
      <c r="B55" s="3"/>
      <c r="C55" s="1"/>
      <c r="D55" s="1"/>
      <c r="E55" s="1"/>
      <c r="F55" s="1"/>
      <c r="G55" s="1"/>
      <c r="H55" s="1"/>
      <c r="I55" s="1"/>
      <c r="J55" s="1"/>
      <c r="K55" s="1"/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4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4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4"/>
      <c r="B85" s="1"/>
      <c r="C85" s="1"/>
      <c r="D85" s="1"/>
      <c r="E85" s="1"/>
      <c r="F85" s="1"/>
      <c r="G85" s="1"/>
      <c r="H85" s="1"/>
      <c r="I85" s="1"/>
      <c r="J85" s="1"/>
      <c r="K85" s="1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4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4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4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4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4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75" customHeight="1"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75" customHeight="1"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.75" customHeight="1"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8:27" ht="15.75" customHeight="1"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</sheetData>
  <mergeCells count="52">
    <mergeCell ref="C52:G52"/>
    <mergeCell ref="H52:K52"/>
    <mergeCell ref="L52:M52"/>
    <mergeCell ref="N52:P52"/>
    <mergeCell ref="N34:Q34"/>
    <mergeCell ref="N35:Q35"/>
    <mergeCell ref="N36:Q36"/>
    <mergeCell ref="N38:Q38"/>
    <mergeCell ref="N39:Q39"/>
    <mergeCell ref="N40:Q40"/>
    <mergeCell ref="N41:Q41"/>
    <mergeCell ref="N37:Q37"/>
    <mergeCell ref="C46:G46"/>
    <mergeCell ref="H46:K46"/>
    <mergeCell ref="L46:M46"/>
    <mergeCell ref="N46:P46"/>
    <mergeCell ref="N13:Q13"/>
    <mergeCell ref="N14:Q14"/>
    <mergeCell ref="N15:Q15"/>
    <mergeCell ref="N16:Q16"/>
    <mergeCell ref="N33:Q33"/>
    <mergeCell ref="N26:Q26"/>
    <mergeCell ref="N27:Q27"/>
    <mergeCell ref="N28:Q28"/>
    <mergeCell ref="N29:Q29"/>
    <mergeCell ref="N30:Q30"/>
    <mergeCell ref="N21:Q21"/>
    <mergeCell ref="N17:Q17"/>
    <mergeCell ref="N18:Q18"/>
    <mergeCell ref="N19:Q19"/>
    <mergeCell ref="N20:Q20"/>
    <mergeCell ref="N22:Q22"/>
    <mergeCell ref="N23:Q23"/>
    <mergeCell ref="N31:Q31"/>
    <mergeCell ref="N32:Q32"/>
    <mergeCell ref="N24:Q24"/>
    <mergeCell ref="N42:Q42"/>
    <mergeCell ref="N25:Q25"/>
    <mergeCell ref="A2:B2"/>
    <mergeCell ref="A3:B3"/>
    <mergeCell ref="A7:B7"/>
    <mergeCell ref="A10:A11"/>
    <mergeCell ref="B10:B11"/>
    <mergeCell ref="C10:C11"/>
    <mergeCell ref="D10:D11"/>
    <mergeCell ref="E10:E11"/>
    <mergeCell ref="F10:J10"/>
    <mergeCell ref="K10:K11"/>
    <mergeCell ref="L10:L11"/>
    <mergeCell ref="M10:M11"/>
    <mergeCell ref="N10:Q11"/>
    <mergeCell ref="N12:Q12"/>
  </mergeCells>
  <pageMargins left="0.7" right="0.7" top="0.75" bottom="0.75" header="0" footer="0"/>
  <pageSetup paperSize="9" scale="44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Juni</vt:lpstr>
      <vt:lpstr>Juni!Print_Area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SDD-KIN</dc:creator>
  <cp:lastModifiedBy>Faisal Al Munawar Fathur Rahman</cp:lastModifiedBy>
  <cp:lastPrinted>2026-07-02T00:52:03Z</cp:lastPrinted>
  <dcterms:created xsi:type="dcterms:W3CDTF">2022-06-20T04:51:36Z</dcterms:created>
  <dcterms:modified xsi:type="dcterms:W3CDTF">2026-09-23T00:44:19Z</dcterms:modified>
</cp:coreProperties>
</file>